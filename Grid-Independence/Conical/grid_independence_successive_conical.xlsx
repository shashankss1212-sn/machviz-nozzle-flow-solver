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arse_values" sheetId="2" state="visible" r:id="rId4"/>
    <sheet name="Coarse_successive_%" sheetId="3" state="visible" r:id="rId5"/>
    <sheet name="Coarse_fields_successive" sheetId="4" state="visible" r:id="rId6"/>
    <sheet name="Fine_values" sheetId="5" state="visible" r:id="rId7"/>
    <sheet name="Fine_successive_%" sheetId="6" state="visible" r:id="rId8"/>
    <sheet name="Fine_fields_successiv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<sst xmlns="http://schemas.openxmlformats.org/spreadsheetml/2006/main" count="153" uniqueCount="86">
  <si>
    <t xml:space="preserve">Grid independence study - successive refinement (CONICAL profile, hybrid HLL/HLLC open-plume solver, order 1, 40,000 iterations)</t>
  </si>
  <si>
    <t xml:space="preserve">No fixed base mesh: every mesh is compared with the previous (next coarser) mesh in its own study.</t>
  </si>
  <si>
    <t xml:space="preserve">Coarse study: 105x28x77 -&gt; 195x52x143 (levels -30% ... +30% of 150x40x110).  Fine study: 180x45x139 -&gt; 320x80x246 (levels -10% ... +60% of 200x50x154).</t>
  </si>
  <si>
    <t xml:space="preserve">Sheets: *_values = raw values per mesh; *_successive_% = % change vs previous mesh (formulas); *_fields_successive = whole-field change vs previous mesh.</t>
  </si>
  <si>
    <t xml:space="preserve">Recommended grid-independence quantities: inlet mass flow and wall-pressure thrust (exit-plane values pick up the unsteady flow at the lip).</t>
  </si>
  <si>
    <t xml:space="preserve">Residual row: final relative residual, not a physical property; its % change is not meaningful.</t>
  </si>
  <si>
    <t xml:space="preserve">Plume 1st cell rows (axis values): peak = axis Mach maximum between x = 3 and 7.5 m; closing shock = steepest axial Mach drop after the peak (before x = 8.5 m);</t>
  </si>
  <si>
    <t xml:space="preserve">'behind closing shock' = minimum axis Mach (and the corresponding T, rho) and maximum axis pressure within 1.5 m downstream of that shock. Lip of the nozzle is at x = 3 m.</t>
  </si>
  <si>
    <t xml:space="preserve">Coarse mesh study (CONICAL profile, hybrid HLL/HLLC solver) - values per mesh</t>
  </si>
  <si>
    <t xml:space="preserve">Property</t>
  </si>
  <si>
    <t xml:space="preserve">-30%
105x28x77</t>
  </si>
  <si>
    <t xml:space="preserve">-20%
120x32x88</t>
  </si>
  <si>
    <t xml:space="preserve">-10%
135x36x99</t>
  </si>
  <si>
    <t xml:space="preserve">0%
150x40x110</t>
  </si>
  <si>
    <t xml:space="preserve">+10%
165x44x121</t>
  </si>
  <si>
    <t xml:space="preserve">+20%
180x48x132</t>
  </si>
  <si>
    <t xml:space="preserve">+30%
195x52x143</t>
  </si>
  <si>
    <t xml:space="preserve">Cells [-]</t>
  </si>
  <si>
    <t xml:space="preserve">Mass flow, inlet [kg/s]</t>
  </si>
  <si>
    <t xml:space="preserve">Mass flow, exit plane [kg/s]</t>
  </si>
  <si>
    <t xml:space="preserve">Thrust, wall-pressure method [N]</t>
  </si>
  <si>
    <t xml:space="preserve">Thrust, exit-plane method [N]</t>
  </si>
  <si>
    <t xml:space="preserve">Specific impulse Isp [s]</t>
  </si>
  <si>
    <t xml:space="preserve">Discharge coefficient Cd [-]</t>
  </si>
  <si>
    <t xml:space="preserve">Exit-axis Mach [-]</t>
  </si>
  <si>
    <t xml:space="preserve">Exit-axis temperature [K]</t>
  </si>
  <si>
    <t xml:space="preserve">Exit-axis pressure [Pa]</t>
  </si>
  <si>
    <t xml:space="preserve">Exit-axis velocity [m/s]</t>
  </si>
  <si>
    <t xml:space="preserve">Exit-axis density [kg/m3]</t>
  </si>
  <si>
    <t xml:space="preserve">Exit mass-averaged Mach [-]</t>
  </si>
  <si>
    <t xml:space="preserve">Throat-axis Mach [-]</t>
  </si>
  <si>
    <t xml:space="preserve">Plume 1st cell: x of axis Mach peak [m]</t>
  </si>
  <si>
    <t xml:space="preserve">Plume 1st cell: peak axis Mach [-]</t>
  </si>
  <si>
    <t xml:space="preserve">Plume 1st cell: axis pressure at peak [Pa]</t>
  </si>
  <si>
    <t xml:space="preserve">Plume 1st cell: axis temperature at peak [K]</t>
  </si>
  <si>
    <t xml:space="preserve">Plume 1st cell: axis density at peak [kg/m3]</t>
  </si>
  <si>
    <t xml:space="preserve">Plume 1st cell: axis velocity at peak [m/s]</t>
  </si>
  <si>
    <t xml:space="preserve">Plume 1st cell: end (closing shock) x [m]</t>
  </si>
  <si>
    <t xml:space="preserve">Plume 1st cell: length from lip [m]</t>
  </si>
  <si>
    <t xml:space="preserve">Plume 1st cell: axis Mach behind closing shock [-]</t>
  </si>
  <si>
    <t xml:space="preserve">Plume 1st cell: axis pressure behind closing shock [Pa]</t>
  </si>
  <si>
    <t xml:space="preserve">Plume 1st cell: axis temperature behind closing shock [K]</t>
  </si>
  <si>
    <t xml:space="preserve">Plume 1st cell: axis density behind closing shock [kg/m3]</t>
  </si>
  <si>
    <t xml:space="preserve">Plume 1st cell: pressure ratio across closing shock [-]</t>
  </si>
  <si>
    <t xml:space="preserve">Final relative residual [-]</t>
  </si>
  <si>
    <t xml:space="preserve">Blue = values read from each run's JSON output (sweep folder). 'Exit-axis density' = centreline cell at the nozzle exit. Plume 1st-cell definitions: see README.</t>
  </si>
  <si>
    <t xml:space="preserve">Coarse mesh study - % change relative to the PREVIOUS (next coarser) mesh: 100*(this - previous)/previous</t>
  </si>
  <si>
    <t xml:space="preserve">-30% -&gt; -20%</t>
  </si>
  <si>
    <t xml:space="preserve">-20% -&gt; -10%</t>
  </si>
  <si>
    <t xml:space="preserve">-10% -&gt; 0%</t>
  </si>
  <si>
    <t xml:space="preserve">0% -&gt; +10%</t>
  </si>
  <si>
    <t xml:space="preserve">+10% -&gt; +20%</t>
  </si>
  <si>
    <t xml:space="preserve">+20% -&gt; +30%</t>
  </si>
  <si>
    <t xml:space="preserve">Coarse mesh study - whole-field change relative to the PREVIOUS mesh (mean |difference| as % of the previous mesh's field range)</t>
  </si>
  <si>
    <t xml:space="preserve">Region / property</t>
  </si>
  <si>
    <t xml:space="preserve">Nozzle: Mach</t>
  </si>
  <si>
    <t xml:space="preserve">Nozzle: Pressure</t>
  </si>
  <si>
    <t xml:space="preserve">Nozzle: Temperature</t>
  </si>
  <si>
    <t xml:space="preserve">Nozzle: Density</t>
  </si>
  <si>
    <t xml:space="preserve">Nozzle: Velocity</t>
  </si>
  <si>
    <t xml:space="preserve">Plume 1st cell: Mach</t>
  </si>
  <si>
    <t xml:space="preserve">Plume 1st cell: Pressure</t>
  </si>
  <si>
    <t xml:space="preserve">Plume 1st cell: Temperature</t>
  </si>
  <si>
    <t xml:space="preserve">Plume 1st cell: Density</t>
  </si>
  <si>
    <t xml:space="preserve">Plume 1st cell: Velocity</t>
  </si>
  <si>
    <t xml:space="preserve">Plume: Mach</t>
  </si>
  <si>
    <t xml:space="preserve">Plume: Pressure</t>
  </si>
  <si>
    <t xml:space="preserve">Plume: Temperature</t>
  </si>
  <si>
    <t xml:space="preserve">Plume: Density</t>
  </si>
  <si>
    <t xml:space="preserve">Plume: Velocity</t>
  </si>
  <si>
    <t xml:space="preserve">Computed in Python: the finer mesh's field is linearly interpolated (scipy griddata) onto the previous mesh's cell centres; values are in % of field range (not fractions). Nozzle = x &lt;= 3 m (L_div); plume 1st cell = from the lip (x = 3 m) to the end of the 1st cell of the previous mesh; plume = all x &gt; 3 m.</t>
  </si>
  <si>
    <t xml:space="preserve">Plume rows beyond the first shock cell include the pseudo-time cycle of the 2nd cell (see analysis/second_cell_cycle.png), so they are not a pure grid effect.</t>
  </si>
  <si>
    <t xml:space="preserve">Fine mesh study (CONICAL profile, hybrid HLL/HLLC solver) - values per mesh</t>
  </si>
  <si>
    <t xml:space="preserve">-10%
180x45x139</t>
  </si>
  <si>
    <t xml:space="preserve">0%
200x50x154</t>
  </si>
  <si>
    <t xml:space="preserve">+10%
220x55x169</t>
  </si>
  <si>
    <t xml:space="preserve">+20%
240x60x185</t>
  </si>
  <si>
    <t xml:space="preserve">+30%
260x65x200</t>
  </si>
  <si>
    <t xml:space="preserve">+40%
280x70x216</t>
  </si>
  <si>
    <t xml:space="preserve">+50%
300x75x231</t>
  </si>
  <si>
    <t xml:space="preserve">+60%
320x80x246</t>
  </si>
  <si>
    <t xml:space="preserve">Fine mesh study - % change relative to the PREVIOUS (next coarser) mesh: 100*(this - previous)/previous</t>
  </si>
  <si>
    <t xml:space="preserve">+30% -&gt; +40%</t>
  </si>
  <si>
    <t xml:space="preserve">+40% -&gt; +50%</t>
  </si>
  <si>
    <t xml:space="preserve">+50% -&gt; +60%</t>
  </si>
  <si>
    <t xml:space="preserve">Fine mesh study - whole-field change relative to the PREVIOUS mesh (mean |difference| as % of the previous mesh's field range)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</si>
</sst>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E+00"/>
    <numFmt numFmtId="167" formatCode="0.000%;\-0.000%;0.000%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8</v>
      </c>
    </row>
    <row r="3" customFormat="false" ht="23.8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customFormat="false" ht="15" hidden="false" customHeight="false" outlineLevel="0" collapsed="false">
      <c r="A4" s="2" t="s">
        <v>17</v>
      </c>
      <c r="B4" s="5" t="n">
        <v>5096</v>
      </c>
      <c r="C4" s="5" t="n">
        <v>6656</v>
      </c>
      <c r="D4" s="5" t="n">
        <v>8424</v>
      </c>
      <c r="E4" s="5" t="n">
        <v>10400</v>
      </c>
      <c r="F4" s="5" t="n">
        <v>12584</v>
      </c>
      <c r="G4" s="5" t="n">
        <v>14976</v>
      </c>
      <c r="H4" s="5" t="n">
        <v>17576</v>
      </c>
    </row>
    <row r="5" customFormat="false" ht="15" hidden="false" customHeight="false" outlineLevel="0" collapsed="false">
      <c r="A5" s="2" t="s">
        <v>18</v>
      </c>
      <c r="B5" s="6" t="n">
        <v>2309.28</v>
      </c>
      <c r="C5" s="6" t="n">
        <v>2317.62</v>
      </c>
      <c r="D5" s="6" t="n">
        <v>2324.56</v>
      </c>
      <c r="E5" s="6" t="n">
        <v>2330.4</v>
      </c>
      <c r="F5" s="6" t="n">
        <v>2334.36</v>
      </c>
      <c r="G5" s="6" t="n">
        <v>2338.74</v>
      </c>
      <c r="H5" s="6" t="n">
        <v>2342.52</v>
      </c>
    </row>
    <row r="6" customFormat="false" ht="15" hidden="false" customHeight="false" outlineLevel="0" collapsed="false">
      <c r="A6" s="2" t="s">
        <v>19</v>
      </c>
      <c r="B6" s="6" t="n">
        <v>2289.61</v>
      </c>
      <c r="C6" s="6" t="n">
        <v>2302.77</v>
      </c>
      <c r="D6" s="6" t="n">
        <v>2313.12</v>
      </c>
      <c r="E6" s="6" t="n">
        <v>2321.24</v>
      </c>
      <c r="F6" s="6" t="n">
        <v>2320.87</v>
      </c>
      <c r="G6" s="6" t="n">
        <v>2326.86</v>
      </c>
      <c r="H6" s="6" t="n">
        <v>2334.74</v>
      </c>
    </row>
    <row r="7" customFormat="false" ht="15" hidden="false" customHeight="false" outlineLevel="0" collapsed="false">
      <c r="A7" s="2" t="s">
        <v>20</v>
      </c>
      <c r="B7" s="6" t="n">
        <v>4498570</v>
      </c>
      <c r="C7" s="6" t="n">
        <v>4515880</v>
      </c>
      <c r="D7" s="6" t="n">
        <v>4529710</v>
      </c>
      <c r="E7" s="6" t="n">
        <v>4541120</v>
      </c>
      <c r="F7" s="6" t="n">
        <v>4546810</v>
      </c>
      <c r="G7" s="6" t="n">
        <v>4556990</v>
      </c>
      <c r="H7" s="6" t="n">
        <v>4564380</v>
      </c>
    </row>
    <row r="8" customFormat="false" ht="15" hidden="false" customHeight="false" outlineLevel="0" collapsed="false">
      <c r="A8" s="2" t="s">
        <v>21</v>
      </c>
      <c r="B8" s="6" t="n">
        <v>4384170</v>
      </c>
      <c r="C8" s="6" t="n">
        <v>4418140</v>
      </c>
      <c r="D8" s="6" t="n">
        <v>4445040</v>
      </c>
      <c r="E8" s="6" t="n">
        <v>4466110</v>
      </c>
      <c r="F8" s="6" t="n">
        <v>4477260</v>
      </c>
      <c r="G8" s="6" t="n">
        <v>4480440</v>
      </c>
      <c r="H8" s="6" t="n">
        <v>4498100</v>
      </c>
    </row>
    <row r="9" customFormat="false" ht="15" hidden="false" customHeight="false" outlineLevel="0" collapsed="false">
      <c r="A9" s="2" t="s">
        <v>22</v>
      </c>
      <c r="B9" s="6" t="n">
        <v>195.256</v>
      </c>
      <c r="C9" s="6" t="n">
        <v>195.645</v>
      </c>
      <c r="D9" s="6" t="n">
        <v>195.955</v>
      </c>
      <c r="E9" s="6" t="n">
        <v>196.195</v>
      </c>
      <c r="F9" s="6" t="n">
        <v>196.717</v>
      </c>
      <c r="G9" s="6" t="n">
        <v>196.349</v>
      </c>
      <c r="H9" s="6" t="n">
        <v>196.458</v>
      </c>
    </row>
    <row r="10" customFormat="false" ht="15" hidden="false" customHeight="false" outlineLevel="0" collapsed="false">
      <c r="A10" s="2" t="s">
        <v>23</v>
      </c>
      <c r="B10" s="6" t="n">
        <v>0.939746</v>
      </c>
      <c r="C10" s="6" t="n">
        <v>0.945149</v>
      </c>
      <c r="D10" s="6" t="n">
        <v>0.949395</v>
      </c>
      <c r="E10" s="6" t="n">
        <v>0.952729</v>
      </c>
      <c r="F10" s="6" t="n">
        <v>0.952577</v>
      </c>
      <c r="G10" s="6" t="n">
        <v>0.955036</v>
      </c>
      <c r="H10" s="6" t="n">
        <v>0.95827</v>
      </c>
    </row>
    <row r="11" customFormat="false" ht="15" hidden="false" customHeight="false" outlineLevel="0" collapsed="false">
      <c r="A11" s="2" t="s">
        <v>24</v>
      </c>
      <c r="B11" s="6" t="n">
        <v>3.119</v>
      </c>
      <c r="C11" s="6" t="n">
        <v>3.105</v>
      </c>
      <c r="D11" s="6" t="n">
        <v>3.09</v>
      </c>
      <c r="E11" s="6" t="n">
        <v>3.076</v>
      </c>
      <c r="F11" s="6" t="n">
        <v>3.062</v>
      </c>
      <c r="G11" s="6" t="n">
        <v>3.048</v>
      </c>
      <c r="H11" s="6" t="n">
        <v>3.036</v>
      </c>
    </row>
    <row r="12" customFormat="false" ht="15" hidden="false" customHeight="false" outlineLevel="0" collapsed="false">
      <c r="A12" s="2" t="s">
        <v>25</v>
      </c>
      <c r="B12" s="6" t="n">
        <v>1197</v>
      </c>
      <c r="C12" s="6" t="n">
        <v>1204</v>
      </c>
      <c r="D12" s="6" t="n">
        <v>1212</v>
      </c>
      <c r="E12" s="6" t="n">
        <v>1219</v>
      </c>
      <c r="F12" s="6" t="n">
        <v>1226</v>
      </c>
      <c r="G12" s="6" t="n">
        <v>1233</v>
      </c>
      <c r="H12" s="6" t="n">
        <v>1240</v>
      </c>
    </row>
    <row r="13" customFormat="false" ht="15" hidden="false" customHeight="false" outlineLevel="0" collapsed="false">
      <c r="A13" s="2" t="s">
        <v>26</v>
      </c>
      <c r="B13" s="6" t="n">
        <v>54513</v>
      </c>
      <c r="C13" s="6" t="n">
        <v>56427</v>
      </c>
      <c r="D13" s="6" t="n">
        <v>58278</v>
      </c>
      <c r="E13" s="6" t="n">
        <v>60064</v>
      </c>
      <c r="F13" s="6" t="n">
        <v>61808</v>
      </c>
      <c r="G13" s="6" t="n">
        <v>63466</v>
      </c>
      <c r="H13" s="6" t="n">
        <v>65053</v>
      </c>
    </row>
    <row r="14" customFormat="false" ht="15" hidden="false" customHeight="false" outlineLevel="0" collapsed="false">
      <c r="A14" s="2" t="s">
        <v>27</v>
      </c>
      <c r="B14" s="6" t="n">
        <v>2105.1</v>
      </c>
      <c r="C14" s="6" t="n">
        <v>2101.4</v>
      </c>
      <c r="D14" s="6" t="n">
        <v>2097.7</v>
      </c>
      <c r="E14" s="6" t="n">
        <v>2093.9</v>
      </c>
      <c r="F14" s="6" t="n">
        <v>2090.2</v>
      </c>
      <c r="G14" s="6" t="n">
        <v>2086.6</v>
      </c>
      <c r="H14" s="6" t="n">
        <v>2083.2</v>
      </c>
    </row>
    <row r="15" customFormat="false" ht="15" hidden="false" customHeight="false" outlineLevel="0" collapsed="false">
      <c r="A15" s="2" t="s">
        <v>28</v>
      </c>
      <c r="B15" s="6" t="n">
        <v>0.15865</v>
      </c>
      <c r="C15" s="6" t="n">
        <v>0.163218</v>
      </c>
      <c r="D15" s="6" t="n">
        <v>0.167541</v>
      </c>
      <c r="E15" s="6" t="n">
        <v>0.171644</v>
      </c>
      <c r="F15" s="6" t="n">
        <v>0.175592</v>
      </c>
      <c r="G15" s="6" t="n">
        <v>0.179301</v>
      </c>
      <c r="H15" s="6" t="n">
        <v>0.182817</v>
      </c>
    </row>
    <row r="16" customFormat="false" ht="15" hidden="false" customHeight="false" outlineLevel="0" collapsed="false">
      <c r="A16" s="2" t="s">
        <v>29</v>
      </c>
      <c r="B16" s="6" t="n">
        <v>3.081</v>
      </c>
      <c r="C16" s="6" t="n">
        <v>3.09</v>
      </c>
      <c r="D16" s="6" t="n">
        <v>3.098</v>
      </c>
      <c r="E16" s="6" t="n">
        <v>3.104</v>
      </c>
      <c r="F16" s="6" t="n">
        <v>3.127</v>
      </c>
      <c r="G16" s="6" t="n">
        <v>3.106</v>
      </c>
      <c r="H16" s="6" t="n">
        <v>3.108</v>
      </c>
    </row>
    <row r="17" customFormat="false" ht="15" hidden="false" customHeight="false" outlineLevel="0" collapsed="false">
      <c r="A17" s="2" t="s">
        <v>30</v>
      </c>
      <c r="B17" s="6" t="n">
        <v>0.82557</v>
      </c>
      <c r="C17" s="6" t="n">
        <v>0.82396</v>
      </c>
      <c r="D17" s="6" t="n">
        <v>0.8226</v>
      </c>
      <c r="E17" s="6" t="n">
        <v>0.82147</v>
      </c>
      <c r="F17" s="6" t="n">
        <v>0.82056</v>
      </c>
      <c r="G17" s="6" t="n">
        <v>0.81978</v>
      </c>
      <c r="H17" s="6" t="n">
        <v>0.81912</v>
      </c>
    </row>
    <row r="18" customFormat="false" ht="15" hidden="false" customHeight="false" outlineLevel="0" collapsed="false">
      <c r="A18" s="2" t="s">
        <v>31</v>
      </c>
      <c r="B18" s="6" t="n">
        <v>4.64704</v>
      </c>
      <c r="C18" s="6" t="n">
        <v>4.82333</v>
      </c>
      <c r="D18" s="6" t="n">
        <v>5.06077</v>
      </c>
      <c r="E18" s="6" t="n">
        <v>5.1681</v>
      </c>
      <c r="F18" s="6" t="n">
        <v>5.32547</v>
      </c>
      <c r="G18" s="6" t="n">
        <v>5.47268</v>
      </c>
      <c r="H18" s="6" t="n">
        <v>5.52748</v>
      </c>
    </row>
    <row r="19" customFormat="false" ht="15" hidden="false" customHeight="false" outlineLevel="0" collapsed="false">
      <c r="A19" s="2" t="s">
        <v>32</v>
      </c>
      <c r="B19" s="6" t="n">
        <v>3.47251</v>
      </c>
      <c r="C19" s="6" t="n">
        <v>3.5207</v>
      </c>
      <c r="D19" s="6" t="n">
        <v>3.56861</v>
      </c>
      <c r="E19" s="6" t="n">
        <v>3.61264</v>
      </c>
      <c r="F19" s="6" t="n">
        <v>3.652</v>
      </c>
      <c r="G19" s="6" t="n">
        <v>3.68834</v>
      </c>
      <c r="H19" s="6" t="n">
        <v>3.72052</v>
      </c>
    </row>
    <row r="20" customFormat="false" ht="15" hidden="false" customHeight="false" outlineLevel="0" collapsed="false">
      <c r="A20" s="2" t="s">
        <v>33</v>
      </c>
      <c r="B20" s="6" t="n">
        <v>29942.2</v>
      </c>
      <c r="C20" s="6" t="n">
        <v>28080.5</v>
      </c>
      <c r="D20" s="6" t="n">
        <v>26274.8</v>
      </c>
      <c r="E20" s="6" t="n">
        <v>24703.5</v>
      </c>
      <c r="F20" s="6" t="n">
        <v>23368.7</v>
      </c>
      <c r="G20" s="6" t="n">
        <v>22195.8</v>
      </c>
      <c r="H20" s="6" t="n">
        <v>21208.6</v>
      </c>
    </row>
    <row r="21" customFormat="false" ht="15" hidden="false" customHeight="false" outlineLevel="0" collapsed="false">
      <c r="A21" s="2" t="s">
        <v>34</v>
      </c>
      <c r="B21" s="6" t="n">
        <v>1036.67</v>
      </c>
      <c r="C21" s="6" t="n">
        <v>1017.35</v>
      </c>
      <c r="D21" s="6" t="n">
        <v>998.48</v>
      </c>
      <c r="E21" s="6" t="n">
        <v>981.458</v>
      </c>
      <c r="F21" s="6" t="n">
        <v>966.483</v>
      </c>
      <c r="G21" s="6" t="n">
        <v>952.912</v>
      </c>
      <c r="H21" s="6" t="n">
        <v>941.078</v>
      </c>
    </row>
    <row r="22" customFormat="false" ht="15" hidden="false" customHeight="false" outlineLevel="0" collapsed="false">
      <c r="A22" s="2" t="s">
        <v>35</v>
      </c>
      <c r="B22" s="6" t="n">
        <v>0.100618</v>
      </c>
      <c r="C22" s="6" t="n">
        <v>0.0961545</v>
      </c>
      <c r="D22" s="6" t="n">
        <v>0.0916717</v>
      </c>
      <c r="E22" s="6" t="n">
        <v>0.0876843</v>
      </c>
      <c r="F22" s="6" t="n">
        <v>0.0842317</v>
      </c>
      <c r="G22" s="6" t="n">
        <v>0.0811433</v>
      </c>
      <c r="H22" s="6" t="n">
        <v>0.0785095</v>
      </c>
    </row>
    <row r="23" customFormat="false" ht="15" hidden="false" customHeight="false" outlineLevel="0" collapsed="false">
      <c r="A23" s="2" t="s">
        <v>36</v>
      </c>
      <c r="B23" s="6" t="n">
        <v>2188.72</v>
      </c>
      <c r="C23" s="6" t="n">
        <v>2199.42</v>
      </c>
      <c r="D23" s="6" t="n">
        <v>2209.7</v>
      </c>
      <c r="E23" s="6" t="n">
        <v>2218.86</v>
      </c>
      <c r="F23" s="6" t="n">
        <v>2226.79</v>
      </c>
      <c r="G23" s="6" t="n">
        <v>2233.99</v>
      </c>
      <c r="H23" s="6" t="n">
        <v>2240.23</v>
      </c>
    </row>
    <row r="24" customFormat="false" ht="15" hidden="false" customHeight="false" outlineLevel="0" collapsed="false">
      <c r="A24" s="2" t="s">
        <v>37</v>
      </c>
      <c r="B24" s="6" t="n">
        <v>5.93202</v>
      </c>
      <c r="C24" s="6" t="n">
        <v>5.96771</v>
      </c>
      <c r="D24" s="6" t="n">
        <v>6.10742</v>
      </c>
      <c r="E24" s="6" t="n">
        <v>6.11894</v>
      </c>
      <c r="F24" s="6" t="n">
        <v>6.20371</v>
      </c>
      <c r="G24" s="6" t="n">
        <v>6.29139</v>
      </c>
      <c r="H24" s="6" t="n">
        <v>6.28616</v>
      </c>
    </row>
    <row r="25" customFormat="false" ht="15" hidden="false" customHeight="false" outlineLevel="0" collapsed="false">
      <c r="A25" s="2" t="s">
        <v>38</v>
      </c>
      <c r="B25" s="6" t="n">
        <v>2.93202</v>
      </c>
      <c r="C25" s="6" t="n">
        <v>2.96771</v>
      </c>
      <c r="D25" s="6" t="n">
        <v>3.10742</v>
      </c>
      <c r="E25" s="6" t="n">
        <v>3.11894</v>
      </c>
      <c r="F25" s="6" t="n">
        <v>3.20371</v>
      </c>
      <c r="G25" s="6" t="n">
        <v>3.29139</v>
      </c>
      <c r="H25" s="6" t="n">
        <v>3.28616</v>
      </c>
    </row>
    <row r="26" customFormat="false" ht="15" hidden="false" customHeight="false" outlineLevel="0" collapsed="false">
      <c r="A26" s="2" t="s">
        <v>39</v>
      </c>
      <c r="B26" s="6" t="n">
        <v>2.21292</v>
      </c>
      <c r="C26" s="6" t="n">
        <v>2.18229</v>
      </c>
      <c r="D26" s="6" t="n">
        <v>2.14705</v>
      </c>
      <c r="E26" s="6" t="n">
        <v>2.1119</v>
      </c>
      <c r="F26" s="6" t="n">
        <v>2.07504</v>
      </c>
      <c r="G26" s="6" t="n">
        <v>2.08242</v>
      </c>
      <c r="H26" s="6" t="n">
        <v>2.08147</v>
      </c>
    </row>
    <row r="27" customFormat="false" ht="15" hidden="false" customHeight="false" outlineLevel="0" collapsed="false">
      <c r="A27" s="2" t="s">
        <v>40</v>
      </c>
      <c r="B27" s="6" t="n">
        <v>213778</v>
      </c>
      <c r="C27" s="6" t="n">
        <v>228042</v>
      </c>
      <c r="D27" s="6" t="n">
        <v>242113</v>
      </c>
      <c r="E27" s="6" t="n">
        <v>255428</v>
      </c>
      <c r="F27" s="6" t="n">
        <v>270306</v>
      </c>
      <c r="G27" s="6" t="n">
        <v>263894</v>
      </c>
      <c r="H27" s="6" t="n">
        <v>267938</v>
      </c>
    </row>
    <row r="28" customFormat="false" ht="15" hidden="false" customHeight="false" outlineLevel="0" collapsed="false">
      <c r="A28" s="2" t="s">
        <v>41</v>
      </c>
      <c r="B28" s="6" t="n">
        <v>1725.99</v>
      </c>
      <c r="C28" s="6" t="n">
        <v>1751.54</v>
      </c>
      <c r="D28" s="6" t="n">
        <v>1779.01</v>
      </c>
      <c r="E28" s="6" t="n">
        <v>1805.53</v>
      </c>
      <c r="F28" s="6" t="n">
        <v>1834.51</v>
      </c>
      <c r="G28" s="6" t="n">
        <v>1826.15</v>
      </c>
      <c r="H28" s="6" t="n">
        <v>1834.96</v>
      </c>
    </row>
    <row r="29" customFormat="false" ht="15" hidden="false" customHeight="false" outlineLevel="0" collapsed="false">
      <c r="A29" s="2" t="s">
        <v>42</v>
      </c>
      <c r="B29" s="6" t="n">
        <v>0.43148</v>
      </c>
      <c r="C29" s="6" t="n">
        <v>0.453555</v>
      </c>
      <c r="D29" s="6" t="n">
        <v>0.474106</v>
      </c>
      <c r="E29" s="6" t="n">
        <v>0.492832</v>
      </c>
      <c r="F29" s="6" t="n">
        <v>0.513298</v>
      </c>
      <c r="G29" s="6" t="n">
        <v>0.503417</v>
      </c>
      <c r="H29" s="6" t="n">
        <v>0.508678</v>
      </c>
    </row>
    <row r="30" customFormat="false" ht="15" hidden="false" customHeight="false" outlineLevel="0" collapsed="false">
      <c r="A30" s="2" t="s">
        <v>43</v>
      </c>
      <c r="B30" s="6" t="n">
        <v>7.13968913439894</v>
      </c>
      <c r="C30" s="6" t="n">
        <v>8.12100924128844</v>
      </c>
      <c r="D30" s="6" t="n">
        <v>9.21464673375249</v>
      </c>
      <c r="E30" s="6" t="n">
        <v>10.3397494282187</v>
      </c>
      <c r="F30" s="6" t="n">
        <v>11.5670105739729</v>
      </c>
      <c r="G30" s="6" t="n">
        <v>11.889366456717</v>
      </c>
      <c r="H30" s="6" t="n">
        <v>12.6334600115048</v>
      </c>
    </row>
    <row r="31" customFormat="false" ht="15" hidden="false" customHeight="false" outlineLevel="0" collapsed="false">
      <c r="A31" s="2" t="s">
        <v>44</v>
      </c>
      <c r="B31" s="7" t="n">
        <v>0.0009944</v>
      </c>
      <c r="C31" s="7" t="n">
        <v>0.003534</v>
      </c>
      <c r="D31" s="7" t="n">
        <v>0.006216</v>
      </c>
      <c r="E31" s="7" t="n">
        <v>0.008493</v>
      </c>
      <c r="F31" s="7" t="n">
        <v>0.01293</v>
      </c>
      <c r="G31" s="7" t="n">
        <v>0.01573</v>
      </c>
      <c r="H31" s="7" t="n">
        <v>0.01569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46</v>
      </c>
    </row>
    <row r="3" customFormat="false" ht="15" hidden="false" customHeight="false" outlineLevel="0" collapsed="false">
      <c r="A3" s="4" t="s">
        <v>9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tr">
        <f aca="false">Coarse_values!A4</f>
        <v>Cells [-]</v>
      </c>
      <c r="B4" s="9" t="n">
        <f aca="false">IFERROR((Coarse_values!C4-Coarse_values!B4)/ABS(Coarse_values!B4),"")</f>
        <v>0.306122448979592</v>
      </c>
      <c r="C4" s="9" t="n">
        <f aca="false">IFERROR((Coarse_values!D4-Coarse_values!C4)/ABS(Coarse_values!C4),"")</f>
        <v>0.265625</v>
      </c>
      <c r="D4" s="9" t="n">
        <f aca="false">IFERROR((Coarse_values!E4-Coarse_values!D4)/ABS(Coarse_values!D4),"")</f>
        <v>0.234567901234568</v>
      </c>
      <c r="E4" s="9" t="n">
        <f aca="false">IFERROR((Coarse_values!F4-Coarse_values!E4)/ABS(Coarse_values!E4),"")</f>
        <v>0.21</v>
      </c>
      <c r="F4" s="9" t="n">
        <f aca="false">IFERROR((Coarse_values!G4-Coarse_values!F4)/ABS(Coarse_values!F4),"")</f>
        <v>0.190082644628099</v>
      </c>
      <c r="G4" s="9" t="n">
        <f aca="false">IFERROR((Coarse_values!H4-Coarse_values!G4)/ABS(Coarse_values!G4),"")</f>
        <v>0.173611111111111</v>
      </c>
    </row>
    <row r="5" customFormat="false" ht="15" hidden="false" customHeight="false" outlineLevel="0" collapsed="false">
      <c r="A5" s="2" t="str">
        <f aca="false">Coarse_values!A5</f>
        <v>Mass flow, inlet [kg/s]</v>
      </c>
      <c r="B5" s="9" t="n">
        <f aca="false">IFERROR((Coarse_values!C5-Coarse_values!B5)/ABS(Coarse_values!B5),"")</f>
        <v>0.00361151527748895</v>
      </c>
      <c r="C5" s="9" t="n">
        <f aca="false">IFERROR((Coarse_values!D5-Coarse_values!C5)/ABS(Coarse_values!C5),"")</f>
        <v>0.00299445120425266</v>
      </c>
      <c r="D5" s="9" t="n">
        <f aca="false">IFERROR((Coarse_values!E5-Coarse_values!D5)/ABS(Coarse_values!D5),"")</f>
        <v>0.00251230340365495</v>
      </c>
      <c r="E5" s="9" t="n">
        <f aca="false">IFERROR((Coarse_values!F5-Coarse_values!E5)/ABS(Coarse_values!E5),"")</f>
        <v>0.00169927909371783</v>
      </c>
      <c r="F5" s="9" t="n">
        <f aca="false">IFERROR((Coarse_values!G5-Coarse_values!F5)/ABS(Coarse_values!F5),"")</f>
        <v>0.00187631727754059</v>
      </c>
      <c r="G5" s="9" t="n">
        <f aca="false">IFERROR((Coarse_values!H5-Coarse_values!G5)/ABS(Coarse_values!G5),"")</f>
        <v>0.00161625490648819</v>
      </c>
    </row>
    <row r="6" customFormat="false" ht="15" hidden="false" customHeight="false" outlineLevel="0" collapsed="false">
      <c r="A6" s="2" t="str">
        <f aca="false">Coarse_values!A6</f>
        <v>Mass flow, exit plane [kg/s]</v>
      </c>
      <c r="B6" s="9" t="n">
        <f aca="false">IFERROR((Coarse_values!C6-Coarse_values!B6)/ABS(Coarse_values!B6),"")</f>
        <v>0.0057477037574084</v>
      </c>
      <c r="C6" s="9" t="n">
        <f aca="false">IFERROR((Coarse_values!D6-Coarse_values!C6)/ABS(Coarse_values!C6),"")</f>
        <v>0.00449458695397278</v>
      </c>
      <c r="D6" s="9" t="n">
        <f aca="false">IFERROR((Coarse_values!E6-Coarse_values!D6)/ABS(Coarse_values!D6),"")</f>
        <v>0.00351041018191875</v>
      </c>
      <c r="E6" s="9" t="n">
        <f aca="false">IFERROR((Coarse_values!F6-Coarse_values!E6)/ABS(Coarse_values!E6),"")</f>
        <v>-0.000159397563371255</v>
      </c>
      <c r="F6" s="9" t="n">
        <f aca="false">IFERROR((Coarse_values!G6-Coarse_values!F6)/ABS(Coarse_values!F6),"")</f>
        <v>0.00258092870346044</v>
      </c>
      <c r="G6" s="9" t="n">
        <f aca="false">IFERROR((Coarse_values!H6-Coarse_values!G6)/ABS(Coarse_values!G6),"")</f>
        <v>0.00338653808136272</v>
      </c>
    </row>
    <row r="7" customFormat="false" ht="15" hidden="false" customHeight="false" outlineLevel="0" collapsed="false">
      <c r="A7" s="2" t="str">
        <f aca="false">Coarse_values!A7</f>
        <v>Thrust, wall-pressure method [N]</v>
      </c>
      <c r="B7" s="9" t="n">
        <f aca="false">IFERROR((Coarse_values!C7-Coarse_values!B7)/ABS(Coarse_values!B7),"")</f>
        <v>0.00384788944042218</v>
      </c>
      <c r="C7" s="9" t="n">
        <f aca="false">IFERROR((Coarse_values!D7-Coarse_values!C7)/ABS(Coarse_values!C7),"")</f>
        <v>0.00306252601929192</v>
      </c>
      <c r="D7" s="9" t="n">
        <f aca="false">IFERROR((Coarse_values!E7-Coarse_values!D7)/ABS(Coarse_values!D7),"")</f>
        <v>0.00251892505259719</v>
      </c>
      <c r="E7" s="9" t="n">
        <f aca="false">IFERROR((Coarse_values!F7-Coarse_values!E7)/ABS(Coarse_values!E7),"")</f>
        <v>0.00125299485589458</v>
      </c>
      <c r="F7" s="9" t="n">
        <f aca="false">IFERROR((Coarse_values!G7-Coarse_values!F7)/ABS(Coarse_values!F7),"")</f>
        <v>0.00223893235037312</v>
      </c>
      <c r="G7" s="9" t="n">
        <f aca="false">IFERROR((Coarse_values!H7-Coarse_values!G7)/ABS(Coarse_values!G7),"")</f>
        <v>0.00162168448910355</v>
      </c>
    </row>
    <row r="8" customFormat="false" ht="15" hidden="false" customHeight="false" outlineLevel="0" collapsed="false">
      <c r="A8" s="2" t="str">
        <f aca="false">Coarse_values!A8</f>
        <v>Thrust, exit-plane method [N]</v>
      </c>
      <c r="B8" s="9" t="n">
        <f aca="false">IFERROR((Coarse_values!C8-Coarse_values!B8)/ABS(Coarse_values!B8),"")</f>
        <v>0.00774833092694854</v>
      </c>
      <c r="C8" s="9" t="n">
        <f aca="false">IFERROR((Coarse_values!D8-Coarse_values!C8)/ABS(Coarse_values!C8),"")</f>
        <v>0.00608853499436414</v>
      </c>
      <c r="D8" s="9" t="n">
        <f aca="false">IFERROR((Coarse_values!E8-Coarse_values!D8)/ABS(Coarse_values!D8),"")</f>
        <v>0.0047401148246135</v>
      </c>
      <c r="E8" s="9" t="n">
        <f aca="false">IFERROR((Coarse_values!F8-Coarse_values!E8)/ABS(Coarse_values!E8),"")</f>
        <v>0.0024965797976315</v>
      </c>
      <c r="F8" s="9" t="n">
        <f aca="false">IFERROR((Coarse_values!G8-Coarse_values!F8)/ABS(Coarse_values!F8),"")</f>
        <v>0.000710255826107932</v>
      </c>
      <c r="G8" s="9" t="n">
        <f aca="false">IFERROR((Coarse_values!H8-Coarse_values!G8)/ABS(Coarse_values!G8),"")</f>
        <v>0.00394157716652829</v>
      </c>
    </row>
    <row r="9" customFormat="false" ht="15" hidden="false" customHeight="false" outlineLevel="0" collapsed="false">
      <c r="A9" s="2" t="str">
        <f aca="false">Coarse_values!A9</f>
        <v>Specific impulse Isp [s]</v>
      </c>
      <c r="B9" s="9" t="n">
        <f aca="false">IFERROR((Coarse_values!C9-Coarse_values!B9)/ABS(Coarse_values!B9),"")</f>
        <v>0.00199225631990827</v>
      </c>
      <c r="C9" s="9" t="n">
        <f aca="false">IFERROR((Coarse_values!D9-Coarse_values!C9)/ABS(Coarse_values!C9),"")</f>
        <v>0.00158450254287103</v>
      </c>
      <c r="D9" s="9" t="n">
        <f aca="false">IFERROR((Coarse_values!E9-Coarse_values!D9)/ABS(Coarse_values!D9),"")</f>
        <v>0.00122477099334021</v>
      </c>
      <c r="E9" s="9" t="n">
        <f aca="false">IFERROR((Coarse_values!F9-Coarse_values!E9)/ABS(Coarse_values!E9),"")</f>
        <v>0.00266061826244308</v>
      </c>
      <c r="F9" s="9" t="n">
        <f aca="false">IFERROR((Coarse_values!G9-Coarse_values!F9)/ABS(Coarse_values!F9),"")</f>
        <v>-0.00187070766634314</v>
      </c>
      <c r="G9" s="9" t="n">
        <f aca="false">IFERROR((Coarse_values!H9-Coarse_values!G9)/ABS(Coarse_values!G9),"")</f>
        <v>0.000555133970633968</v>
      </c>
    </row>
    <row r="10" customFormat="false" ht="15" hidden="false" customHeight="false" outlineLevel="0" collapsed="false">
      <c r="A10" s="2" t="str">
        <f aca="false">Coarse_values!A10</f>
        <v>Discharge coefficient Cd [-]</v>
      </c>
      <c r="B10" s="9" t="n">
        <f aca="false">IFERROR((Coarse_values!C10-Coarse_values!B10)/ABS(Coarse_values!B10),"")</f>
        <v>0.00574942590870304</v>
      </c>
      <c r="C10" s="9" t="n">
        <f aca="false">IFERROR((Coarse_values!D10-Coarse_values!C10)/ABS(Coarse_values!C10),"")</f>
        <v>0.00449241336551165</v>
      </c>
      <c r="D10" s="9" t="n">
        <f aca="false">IFERROR((Coarse_values!E10-Coarse_values!D10)/ABS(Coarse_values!D10),"")</f>
        <v>0.00351171008905678</v>
      </c>
      <c r="E10" s="9" t="n">
        <f aca="false">IFERROR((Coarse_values!F10-Coarse_values!E10)/ABS(Coarse_values!E10),"")</f>
        <v>-0.000159541695487427</v>
      </c>
      <c r="F10" s="9" t="n">
        <f aca="false">IFERROR((Coarse_values!G10-Coarse_values!F10)/ABS(Coarse_values!F10),"")</f>
        <v>0.0025814186149781</v>
      </c>
      <c r="G10" s="9" t="n">
        <f aca="false">IFERROR((Coarse_values!H10-Coarse_values!G10)/ABS(Coarse_values!G10),"")</f>
        <v>0.00338625978497141</v>
      </c>
    </row>
    <row r="11" customFormat="false" ht="15" hidden="false" customHeight="false" outlineLevel="0" collapsed="false">
      <c r="A11" s="2" t="str">
        <f aca="false">Coarse_values!A11</f>
        <v>Exit-axis Mach [-]</v>
      </c>
      <c r="B11" s="9" t="n">
        <f aca="false">IFERROR((Coarse_values!C11-Coarse_values!B11)/ABS(Coarse_values!B11),"")</f>
        <v>-0.00448861814684201</v>
      </c>
      <c r="C11" s="9" t="n">
        <f aca="false">IFERROR((Coarse_values!D11-Coarse_values!C11)/ABS(Coarse_values!C11),"")</f>
        <v>-0.00483091787439618</v>
      </c>
      <c r="D11" s="9" t="n">
        <f aca="false">IFERROR((Coarse_values!E11-Coarse_values!D11)/ABS(Coarse_values!D11),"")</f>
        <v>-0.00453074433656951</v>
      </c>
      <c r="E11" s="9" t="n">
        <f aca="false">IFERROR((Coarse_values!F11-Coarse_values!E11)/ABS(Coarse_values!E11),"")</f>
        <v>-0.00455136540962296</v>
      </c>
      <c r="F11" s="9" t="n">
        <f aca="false">IFERROR((Coarse_values!G11-Coarse_values!F11)/ABS(Coarse_values!F11),"")</f>
        <v>-0.00457217504898752</v>
      </c>
      <c r="G11" s="9" t="n">
        <f aca="false">IFERROR((Coarse_values!H11-Coarse_values!G11)/ABS(Coarse_values!G11),"")</f>
        <v>-0.00393700787401575</v>
      </c>
    </row>
    <row r="12" customFormat="false" ht="15" hidden="false" customHeight="false" outlineLevel="0" collapsed="false">
      <c r="A12" s="2" t="str">
        <f aca="false">Coarse_values!A12</f>
        <v>Exit-axis temperature [K]</v>
      </c>
      <c r="B12" s="9" t="n">
        <f aca="false">IFERROR((Coarse_values!C12-Coarse_values!B12)/ABS(Coarse_values!B12),"")</f>
        <v>0.00584795321637427</v>
      </c>
      <c r="C12" s="9" t="n">
        <f aca="false">IFERROR((Coarse_values!D12-Coarse_values!C12)/ABS(Coarse_values!C12),"")</f>
        <v>0.00664451827242525</v>
      </c>
      <c r="D12" s="9" t="n">
        <f aca="false">IFERROR((Coarse_values!E12-Coarse_values!D12)/ABS(Coarse_values!D12),"")</f>
        <v>0.00577557755775578</v>
      </c>
      <c r="E12" s="9" t="n">
        <f aca="false">IFERROR((Coarse_values!F12-Coarse_values!E12)/ABS(Coarse_values!E12),"")</f>
        <v>0.00574241181296144</v>
      </c>
      <c r="F12" s="9" t="n">
        <f aca="false">IFERROR((Coarse_values!G12-Coarse_values!F12)/ABS(Coarse_values!F12),"")</f>
        <v>0.00570962479608483</v>
      </c>
      <c r="G12" s="9" t="n">
        <f aca="false">IFERROR((Coarse_values!H12-Coarse_values!G12)/ABS(Coarse_values!G12),"")</f>
        <v>0.0056772100567721</v>
      </c>
    </row>
    <row r="13" customFormat="false" ht="15" hidden="false" customHeight="false" outlineLevel="0" collapsed="false">
      <c r="A13" s="2" t="str">
        <f aca="false">Coarse_values!A13</f>
        <v>Exit-axis pressure [Pa]</v>
      </c>
      <c r="B13" s="9" t="n">
        <f aca="false">IFERROR((Coarse_values!C13-Coarse_values!B13)/ABS(Coarse_values!B13),"")</f>
        <v>0.0351108909801332</v>
      </c>
      <c r="C13" s="9" t="n">
        <f aca="false">IFERROR((Coarse_values!D13-Coarse_values!C13)/ABS(Coarse_values!C13),"")</f>
        <v>0.0328034451592323</v>
      </c>
      <c r="D13" s="9" t="n">
        <f aca="false">IFERROR((Coarse_values!E13-Coarse_values!D13)/ABS(Coarse_values!D13),"")</f>
        <v>0.0306462129791688</v>
      </c>
      <c r="E13" s="9" t="n">
        <f aca="false">IFERROR((Coarse_values!F13-Coarse_values!E13)/ABS(Coarse_values!E13),"")</f>
        <v>0.0290356952583911</v>
      </c>
      <c r="F13" s="9" t="n">
        <f aca="false">IFERROR((Coarse_values!G13-Coarse_values!F13)/ABS(Coarse_values!F13),"")</f>
        <v>0.0268250064716542</v>
      </c>
      <c r="G13" s="9" t="n">
        <f aca="false">IFERROR((Coarse_values!H13-Coarse_values!G13)/ABS(Coarse_values!G13),"")</f>
        <v>0.0250055147638105</v>
      </c>
    </row>
    <row r="14" customFormat="false" ht="15" hidden="false" customHeight="false" outlineLevel="0" collapsed="false">
      <c r="A14" s="2" t="str">
        <f aca="false">Coarse_values!A14</f>
        <v>Exit-axis velocity [m/s]</v>
      </c>
      <c r="B14" s="9" t="n">
        <f aca="false">IFERROR((Coarse_values!C14-Coarse_values!B14)/ABS(Coarse_values!B14),"")</f>
        <v>-0.00175763621680672</v>
      </c>
      <c r="C14" s="9" t="n">
        <f aca="false">IFERROR((Coarse_values!D14-Coarse_values!C14)/ABS(Coarse_values!C14),"")</f>
        <v>-0.00176073094127737</v>
      </c>
      <c r="D14" s="9" t="n">
        <f aca="false">IFERROR((Coarse_values!E14-Coarse_values!D14)/ABS(Coarse_values!D14),"")</f>
        <v>-0.00181150784192198</v>
      </c>
      <c r="E14" s="9" t="n">
        <f aca="false">IFERROR((Coarse_values!F14-Coarse_values!E14)/ABS(Coarse_values!E14),"")</f>
        <v>-0.00176703758536715</v>
      </c>
      <c r="F14" s="9" t="n">
        <f aca="false">IFERROR((Coarse_values!G14-Coarse_values!F14)/ABS(Coarse_values!F14),"")</f>
        <v>-0.00172232322265808</v>
      </c>
      <c r="G14" s="9" t="n">
        <f aca="false">IFERROR((Coarse_values!H14-Coarse_values!G14)/ABS(Coarse_values!G14),"")</f>
        <v>-0.0016294450301927</v>
      </c>
    </row>
    <row r="15" customFormat="false" ht="15" hidden="false" customHeight="false" outlineLevel="0" collapsed="false">
      <c r="A15" s="2" t="str">
        <f aca="false">Coarse_values!A15</f>
        <v>Exit-axis density [kg/m3]</v>
      </c>
      <c r="B15" s="9" t="n">
        <f aca="false">IFERROR((Coarse_values!C15-Coarse_values!B15)/ABS(Coarse_values!B15),"")</f>
        <v>0.0287929404349196</v>
      </c>
      <c r="C15" s="9" t="n">
        <f aca="false">IFERROR((Coarse_values!D15-Coarse_values!C15)/ABS(Coarse_values!C15),"")</f>
        <v>0.0264860493327941</v>
      </c>
      <c r="D15" s="9" t="n">
        <f aca="false">IFERROR((Coarse_values!E15-Coarse_values!D15)/ABS(Coarse_values!D15),"")</f>
        <v>0.0244895279364454</v>
      </c>
      <c r="E15" s="9" t="n">
        <f aca="false">IFERROR((Coarse_values!F15-Coarse_values!E15)/ABS(Coarse_values!E15),"")</f>
        <v>0.023001095290252</v>
      </c>
      <c r="F15" s="9" t="n">
        <f aca="false">IFERROR((Coarse_values!G15-Coarse_values!F15)/ABS(Coarse_values!F15),"")</f>
        <v>0.0211228301972754</v>
      </c>
      <c r="G15" s="9" t="n">
        <f aca="false">IFERROR((Coarse_values!H15-Coarse_values!G15)/ABS(Coarse_values!G15),"")</f>
        <v>0.0196094834942361</v>
      </c>
    </row>
    <row r="16" customFormat="false" ht="15" hidden="false" customHeight="false" outlineLevel="0" collapsed="false">
      <c r="A16" s="2" t="str">
        <f aca="false">Coarse_values!A16</f>
        <v>Exit mass-averaged Mach [-]</v>
      </c>
      <c r="B16" s="9" t="n">
        <f aca="false">IFERROR((Coarse_values!C16-Coarse_values!B16)/ABS(Coarse_values!B16),"")</f>
        <v>0.00292112950340795</v>
      </c>
      <c r="C16" s="9" t="n">
        <f aca="false">IFERROR((Coarse_values!D16-Coarse_values!C16)/ABS(Coarse_values!C16),"")</f>
        <v>0.00258899676375405</v>
      </c>
      <c r="D16" s="9" t="n">
        <f aca="false">IFERROR((Coarse_values!E16-Coarse_values!D16)/ABS(Coarse_values!D16),"")</f>
        <v>0.00193673337637193</v>
      </c>
      <c r="E16" s="9" t="n">
        <f aca="false">IFERROR((Coarse_values!F16-Coarse_values!E16)/ABS(Coarse_values!E16),"")</f>
        <v>0.00740979381443289</v>
      </c>
      <c r="F16" s="9" t="n">
        <f aca="false">IFERROR((Coarse_values!G16-Coarse_values!F16)/ABS(Coarse_values!F16),"")</f>
        <v>-0.00671570195075149</v>
      </c>
      <c r="G16" s="9" t="n">
        <f aca="false">IFERROR((Coarse_values!H16-Coarse_values!G16)/ABS(Coarse_values!G16),"")</f>
        <v>0.000643915003219647</v>
      </c>
    </row>
    <row r="17" customFormat="false" ht="15" hidden="false" customHeight="false" outlineLevel="0" collapsed="false">
      <c r="A17" s="2" t="str">
        <f aca="false">Coarse_values!A17</f>
        <v>Throat-axis Mach [-]</v>
      </c>
      <c r="B17" s="9" t="n">
        <f aca="false">IFERROR((Coarse_values!C17-Coarse_values!B17)/ABS(Coarse_values!B17),"")</f>
        <v>-0.00195016776287898</v>
      </c>
      <c r="C17" s="9" t="n">
        <f aca="false">IFERROR((Coarse_values!D17-Coarse_values!C17)/ABS(Coarse_values!C17),"")</f>
        <v>-0.00165056556143505</v>
      </c>
      <c r="D17" s="9" t="n">
        <f aca="false">IFERROR((Coarse_values!E17-Coarse_values!D17)/ABS(Coarse_values!D17),"")</f>
        <v>-0.00137369316800385</v>
      </c>
      <c r="E17" s="9" t="n">
        <f aca="false">IFERROR((Coarse_values!F17-Coarse_values!E17)/ABS(Coarse_values!E17),"")</f>
        <v>-0.00110777021680655</v>
      </c>
      <c r="F17" s="9" t="n">
        <f aca="false">IFERROR((Coarse_values!G17-Coarse_values!F17)/ABS(Coarse_values!F17),"")</f>
        <v>-0.000950570342205327</v>
      </c>
      <c r="G17" s="9" t="n">
        <f aca="false">IFERROR((Coarse_values!H17-Coarse_values!G17)/ABS(Coarse_values!G17),"")</f>
        <v>-0.000805094049623062</v>
      </c>
    </row>
    <row r="18" customFormat="false" ht="15" hidden="false" customHeight="false" outlineLevel="0" collapsed="false">
      <c r="A18" s="2" t="str">
        <f aca="false">Coarse_values!A18</f>
        <v>Plume 1st cell: x of axis Mach peak [m]</v>
      </c>
      <c r="B18" s="9" t="n">
        <f aca="false">IFERROR((Coarse_values!C18-Coarse_values!B18)/ABS(Coarse_values!B18),"")</f>
        <v>0.037935976449525</v>
      </c>
      <c r="C18" s="9" t="n">
        <f aca="false">IFERROR((Coarse_values!D18-Coarse_values!C18)/ABS(Coarse_values!C18),"")</f>
        <v>0.0492274009864553</v>
      </c>
      <c r="D18" s="9" t="n">
        <f aca="false">IFERROR((Coarse_values!E18-Coarse_values!D18)/ABS(Coarse_values!D18),"")</f>
        <v>0.0212082351104674</v>
      </c>
      <c r="E18" s="9" t="n">
        <f aca="false">IFERROR((Coarse_values!F18-Coarse_values!E18)/ABS(Coarse_values!E18),"")</f>
        <v>0.0304502621853293</v>
      </c>
      <c r="F18" s="9" t="n">
        <f aca="false">IFERROR((Coarse_values!G18-Coarse_values!F18)/ABS(Coarse_values!F18),"")</f>
        <v>0.0276426306034961</v>
      </c>
      <c r="G18" s="9" t="n">
        <f aca="false">IFERROR((Coarse_values!H18-Coarse_values!G18)/ABS(Coarse_values!G18),"")</f>
        <v>0.0100133755308184</v>
      </c>
    </row>
    <row r="19" customFormat="false" ht="15" hidden="false" customHeight="false" outlineLevel="0" collapsed="false">
      <c r="A19" s="2" t="str">
        <f aca="false">Coarse_values!A19</f>
        <v>Plume 1st cell: peak axis Mach [-]</v>
      </c>
      <c r="B19" s="9" t="n">
        <f aca="false">IFERROR((Coarse_values!C19-Coarse_values!B19)/ABS(Coarse_values!B19),"")</f>
        <v>0.0138775698270127</v>
      </c>
      <c r="C19" s="9" t="n">
        <f aca="false">IFERROR((Coarse_values!D19-Coarse_values!C19)/ABS(Coarse_values!C19),"")</f>
        <v>0.0136080893004232</v>
      </c>
      <c r="D19" s="9" t="n">
        <f aca="false">IFERROR((Coarse_values!E19-Coarse_values!D19)/ABS(Coarse_values!D19),"")</f>
        <v>0.0123381372579239</v>
      </c>
      <c r="E19" s="9" t="n">
        <f aca="false">IFERROR((Coarse_values!F19-Coarse_values!E19)/ABS(Coarse_values!E19),"")</f>
        <v>0.0108950794986493</v>
      </c>
      <c r="F19" s="9" t="n">
        <f aca="false">IFERROR((Coarse_values!G19-Coarse_values!F19)/ABS(Coarse_values!F19),"")</f>
        <v>0.00995071193866376</v>
      </c>
      <c r="G19" s="9" t="n">
        <f aca="false">IFERROR((Coarse_values!H19-Coarse_values!G19)/ABS(Coarse_values!G19),"")</f>
        <v>0.00872479218293321</v>
      </c>
    </row>
    <row r="20" customFormat="false" ht="15" hidden="false" customHeight="false" outlineLevel="0" collapsed="false">
      <c r="A20" s="2" t="str">
        <f aca="false">Coarse_values!A20</f>
        <v>Plume 1st cell: axis pressure at peak [Pa]</v>
      </c>
      <c r="B20" s="9" t="n">
        <f aca="false">IFERROR((Coarse_values!C20-Coarse_values!B20)/ABS(Coarse_values!B20),"")</f>
        <v>-0.0621764599795606</v>
      </c>
      <c r="C20" s="9" t="n">
        <f aca="false">IFERROR((Coarse_values!D20-Coarse_values!C20)/ABS(Coarse_values!C20),"")</f>
        <v>-0.0643044105340005</v>
      </c>
      <c r="D20" s="9" t="n">
        <f aca="false">IFERROR((Coarse_values!E20-Coarse_values!D20)/ABS(Coarse_values!D20),"")</f>
        <v>-0.0598025484494649</v>
      </c>
      <c r="E20" s="9" t="n">
        <f aca="false">IFERROR((Coarse_values!F20-Coarse_values!E20)/ABS(Coarse_values!E20),"")</f>
        <v>-0.0540328293561641</v>
      </c>
      <c r="F20" s="9" t="n">
        <f aca="false">IFERROR((Coarse_values!G20-Coarse_values!F20)/ABS(Coarse_values!F20),"")</f>
        <v>-0.0501910675390587</v>
      </c>
      <c r="G20" s="9" t="n">
        <f aca="false">IFERROR((Coarse_values!H20-Coarse_values!G20)/ABS(Coarse_values!G20),"")</f>
        <v>-0.0444768830139036</v>
      </c>
    </row>
    <row r="21" customFormat="false" ht="15" hidden="false" customHeight="false" outlineLevel="0" collapsed="false">
      <c r="A21" s="2" t="str">
        <f aca="false">Coarse_values!A21</f>
        <v>Plume 1st cell: axis temperature at peak [K]</v>
      </c>
      <c r="B21" s="9" t="n">
        <f aca="false">IFERROR((Coarse_values!C21-Coarse_values!B21)/ABS(Coarse_values!B21),"")</f>
        <v>-0.018636596023807</v>
      </c>
      <c r="C21" s="9" t="n">
        <f aca="false">IFERROR((Coarse_values!D21-Coarse_values!C21)/ABS(Coarse_values!C21),"")</f>
        <v>-0.0185481889221998</v>
      </c>
      <c r="D21" s="9" t="n">
        <f aca="false">IFERROR((Coarse_values!E21-Coarse_values!D21)/ABS(Coarse_values!D21),"")</f>
        <v>-0.0170479128274978</v>
      </c>
      <c r="E21" s="9" t="n">
        <f aca="false">IFERROR((Coarse_values!F21-Coarse_values!E21)/ABS(Coarse_values!E21),"")</f>
        <v>-0.0152579122081638</v>
      </c>
      <c r="F21" s="9" t="n">
        <f aca="false">IFERROR((Coarse_values!G21-Coarse_values!F21)/ABS(Coarse_values!F21),"")</f>
        <v>-0.0140416334275925</v>
      </c>
      <c r="G21" s="9" t="n">
        <f aca="false">IFERROR((Coarse_values!H21-Coarse_values!G21)/ABS(Coarse_values!G21),"")</f>
        <v>-0.0124187752908979</v>
      </c>
    </row>
    <row r="22" customFormat="false" ht="15" hidden="false" customHeight="false" outlineLevel="0" collapsed="false">
      <c r="A22" s="2" t="str">
        <f aca="false">Coarse_values!A22</f>
        <v>Plume 1st cell: axis density at peak [kg/m3]</v>
      </c>
      <c r="B22" s="9" t="n">
        <f aca="false">IFERROR((Coarse_values!C22-Coarse_values!B22)/ABS(Coarse_values!B22),"")</f>
        <v>-0.0443608499473255</v>
      </c>
      <c r="C22" s="9" t="n">
        <f aca="false">IFERROR((Coarse_values!D22-Coarse_values!C22)/ABS(Coarse_values!C22),"")</f>
        <v>-0.0466208029785398</v>
      </c>
      <c r="D22" s="9" t="n">
        <f aca="false">IFERROR((Coarse_values!E22-Coarse_values!D22)/ABS(Coarse_values!D22),"")</f>
        <v>-0.0434965207364976</v>
      </c>
      <c r="E22" s="9" t="n">
        <f aca="false">IFERROR((Coarse_values!F22-Coarse_values!E22)/ABS(Coarse_values!E22),"")</f>
        <v>-0.0393753499771339</v>
      </c>
      <c r="F22" s="9" t="n">
        <f aca="false">IFERROR((Coarse_values!G22-Coarse_values!F22)/ABS(Coarse_values!F22),"")</f>
        <v>-0.0366655309105717</v>
      </c>
      <c r="G22" s="9" t="n">
        <f aca="false">IFERROR((Coarse_values!H22-Coarse_values!G22)/ABS(Coarse_values!G22),"")</f>
        <v>-0.0324586256659515</v>
      </c>
    </row>
    <row r="23" customFormat="false" ht="15" hidden="false" customHeight="false" outlineLevel="0" collapsed="false">
      <c r="A23" s="2" t="str">
        <f aca="false">Coarse_values!A23</f>
        <v>Plume 1st cell: axis velocity at peak [m/s]</v>
      </c>
      <c r="B23" s="9" t="n">
        <f aca="false">IFERROR((Coarse_values!C23-Coarse_values!B23)/ABS(Coarse_values!B23),"")</f>
        <v>0.00488870207244429</v>
      </c>
      <c r="C23" s="9" t="n">
        <f aca="false">IFERROR((Coarse_values!D23-Coarse_values!C23)/ABS(Coarse_values!C23),"")</f>
        <v>0.0046739594984131</v>
      </c>
      <c r="D23" s="9" t="n">
        <f aca="false">IFERROR((Coarse_values!E23-Coarse_values!D23)/ABS(Coarse_values!D23),"")</f>
        <v>0.0041453590985203</v>
      </c>
      <c r="E23" s="9" t="n">
        <f aca="false">IFERROR((Coarse_values!F23-Coarse_values!E23)/ABS(Coarse_values!E23),"")</f>
        <v>0.00357390732177778</v>
      </c>
      <c r="F23" s="9" t="n">
        <f aca="false">IFERROR((Coarse_values!G23-Coarse_values!F23)/ABS(Coarse_values!F23),"")</f>
        <v>0.00323335384117937</v>
      </c>
      <c r="G23" s="9" t="n">
        <f aca="false">IFERROR((Coarse_values!H23-Coarse_values!G23)/ABS(Coarse_values!G23),"")</f>
        <v>0.00279320856404918</v>
      </c>
    </row>
    <row r="24" customFormat="false" ht="15" hidden="false" customHeight="false" outlineLevel="0" collapsed="false">
      <c r="A24" s="2" t="str">
        <f aca="false">Coarse_values!A24</f>
        <v>Plume 1st cell: end (closing shock) x [m]</v>
      </c>
      <c r="B24" s="9" t="n">
        <f aca="false">IFERROR((Coarse_values!C24-Coarse_values!B24)/ABS(Coarse_values!B24),"")</f>
        <v>0.0060165002815231</v>
      </c>
      <c r="C24" s="9" t="n">
        <f aca="false">IFERROR((Coarse_values!D24-Coarse_values!C24)/ABS(Coarse_values!C24),"")</f>
        <v>0.0234109901452986</v>
      </c>
      <c r="D24" s="9" t="n">
        <f aca="false">IFERROR((Coarse_values!E24-Coarse_values!D24)/ABS(Coarse_values!D24),"")</f>
        <v>0.00188623019212695</v>
      </c>
      <c r="E24" s="9" t="n">
        <f aca="false">IFERROR((Coarse_values!F24-Coarse_values!E24)/ABS(Coarse_values!E24),"")</f>
        <v>0.0138537066877596</v>
      </c>
      <c r="F24" s="9" t="n">
        <f aca="false">IFERROR((Coarse_values!G24-Coarse_values!F24)/ABS(Coarse_values!F24),"")</f>
        <v>0.0141334781928878</v>
      </c>
      <c r="G24" s="9" t="n">
        <f aca="false">IFERROR((Coarse_values!H24-Coarse_values!G24)/ABS(Coarse_values!G24),"")</f>
        <v>-0.000831294833097307</v>
      </c>
    </row>
    <row r="25" customFormat="false" ht="15" hidden="false" customHeight="false" outlineLevel="0" collapsed="false">
      <c r="A25" s="2" t="str">
        <f aca="false">Coarse_values!A25</f>
        <v>Plume 1st cell: length from lip [m]</v>
      </c>
      <c r="B25" s="9" t="n">
        <f aca="false">IFERROR((Coarse_values!C25-Coarse_values!B25)/ABS(Coarse_values!B25),"")</f>
        <v>0.0121724954127188</v>
      </c>
      <c r="C25" s="9" t="n">
        <f aca="false">IFERROR((Coarse_values!D25-Coarse_values!C25)/ABS(Coarse_values!C25),"")</f>
        <v>0.0470767022384263</v>
      </c>
      <c r="D25" s="9" t="n">
        <f aca="false">IFERROR((Coarse_values!E25-Coarse_values!D25)/ABS(Coarse_values!D25),"")</f>
        <v>0.00370725553674752</v>
      </c>
      <c r="E25" s="9" t="n">
        <f aca="false">IFERROR((Coarse_values!F25-Coarse_values!E25)/ABS(Coarse_values!E25),"")</f>
        <v>0.0271791057218158</v>
      </c>
      <c r="F25" s="9" t="n">
        <f aca="false">IFERROR((Coarse_values!G25-Coarse_values!F25)/ABS(Coarse_values!F25),"")</f>
        <v>0.0273682699120706</v>
      </c>
      <c r="G25" s="9" t="n">
        <f aca="false">IFERROR((Coarse_values!H25-Coarse_values!G25)/ABS(Coarse_values!G25),"")</f>
        <v>-0.00158899431547146</v>
      </c>
    </row>
    <row r="26" customFormat="false" ht="15" hidden="false" customHeight="false" outlineLevel="0" collapsed="false">
      <c r="A26" s="2" t="str">
        <f aca="false">Coarse_values!A26</f>
        <v>Plume 1st cell: axis Mach behind closing shock [-]</v>
      </c>
      <c r="B26" s="9" t="n">
        <f aca="false">IFERROR((Coarse_values!C26-Coarse_values!B26)/ABS(Coarse_values!B26),"")</f>
        <v>-0.0138414402689659</v>
      </c>
      <c r="C26" s="9" t="n">
        <f aca="false">IFERROR((Coarse_values!D26-Coarse_values!C26)/ABS(Coarse_values!C26),"")</f>
        <v>-0.0161481746239042</v>
      </c>
      <c r="D26" s="9" t="n">
        <f aca="false">IFERROR((Coarse_values!E26-Coarse_values!D26)/ABS(Coarse_values!D26),"")</f>
        <v>-0.0163713001560281</v>
      </c>
      <c r="E26" s="9" t="n">
        <f aca="false">IFERROR((Coarse_values!F26-Coarse_values!E26)/ABS(Coarse_values!E26),"")</f>
        <v>-0.0174534779108859</v>
      </c>
      <c r="F26" s="9" t="n">
        <f aca="false">IFERROR((Coarse_values!G26-Coarse_values!F26)/ABS(Coarse_values!F26),"")</f>
        <v>0.0035565579458709</v>
      </c>
      <c r="G26" s="9" t="n">
        <f aca="false">IFERROR((Coarse_values!H26-Coarse_values!G26)/ABS(Coarse_values!G26),"")</f>
        <v>-0.000456199998079161</v>
      </c>
    </row>
    <row r="27" customFormat="false" ht="15" hidden="false" customHeight="false" outlineLevel="0" collapsed="false">
      <c r="A27" s="2" t="str">
        <f aca="false">Coarse_values!A27</f>
        <v>Plume 1st cell: axis pressure behind closing shock [Pa]</v>
      </c>
      <c r="B27" s="9" t="n">
        <f aca="false">IFERROR((Coarse_values!C27-Coarse_values!B27)/ABS(Coarse_values!B27),"")</f>
        <v>0.0667234233644248</v>
      </c>
      <c r="C27" s="9" t="n">
        <f aca="false">IFERROR((Coarse_values!D27-Coarse_values!C27)/ABS(Coarse_values!C27),"")</f>
        <v>0.0617035458380474</v>
      </c>
      <c r="D27" s="9" t="n">
        <f aca="false">IFERROR((Coarse_values!E27-Coarse_values!D27)/ABS(Coarse_values!D27),"")</f>
        <v>0.0549949816821071</v>
      </c>
      <c r="E27" s="9" t="n">
        <f aca="false">IFERROR((Coarse_values!F27-Coarse_values!E27)/ABS(Coarse_values!E27),"")</f>
        <v>0.058247333886653</v>
      </c>
      <c r="F27" s="9" t="n">
        <f aca="false">IFERROR((Coarse_values!G27-Coarse_values!F27)/ABS(Coarse_values!F27),"")</f>
        <v>-0.0237212640488927</v>
      </c>
      <c r="G27" s="9" t="n">
        <f aca="false">IFERROR((Coarse_values!H27-Coarse_values!G27)/ABS(Coarse_values!G27),"")</f>
        <v>0.0153243347707792</v>
      </c>
    </row>
    <row r="28" customFormat="false" ht="15" hidden="false" customHeight="false" outlineLevel="0" collapsed="false">
      <c r="A28" s="2" t="str">
        <f aca="false">Coarse_values!A28</f>
        <v>Plume 1st cell: axis temperature behind closing shock [K]</v>
      </c>
      <c r="B28" s="9" t="n">
        <f aca="false">IFERROR((Coarse_values!C28-Coarse_values!B28)/ABS(Coarse_values!B28),"")</f>
        <v>0.0148030985115788</v>
      </c>
      <c r="C28" s="9" t="n">
        <f aca="false">IFERROR((Coarse_values!D28-Coarse_values!C28)/ABS(Coarse_values!C28),"")</f>
        <v>0.0156833415166083</v>
      </c>
      <c r="D28" s="9" t="n">
        <f aca="false">IFERROR((Coarse_values!E28-Coarse_values!D28)/ABS(Coarse_values!D28),"")</f>
        <v>0.0149071674695477</v>
      </c>
      <c r="E28" s="9" t="n">
        <f aca="false">IFERROR((Coarse_values!F28-Coarse_values!E28)/ABS(Coarse_values!E28),"")</f>
        <v>0.0160506887174403</v>
      </c>
      <c r="F28" s="9" t="n">
        <f aca="false">IFERROR((Coarse_values!G28-Coarse_values!F28)/ABS(Coarse_values!F28),"")</f>
        <v>-0.00455707518628947</v>
      </c>
      <c r="G28" s="9" t="n">
        <f aca="false">IFERROR((Coarse_values!H28-Coarse_values!G28)/ABS(Coarse_values!G28),"")</f>
        <v>0.00482435725433286</v>
      </c>
    </row>
    <row r="29" customFormat="false" ht="15" hidden="false" customHeight="false" outlineLevel="0" collapsed="false">
      <c r="A29" s="2" t="str">
        <f aca="false">Coarse_values!A29</f>
        <v>Plume 1st cell: axis density behind closing shock [kg/m3]</v>
      </c>
      <c r="B29" s="9" t="n">
        <f aca="false">IFERROR((Coarse_values!C29-Coarse_values!B29)/ABS(Coarse_values!B29),"")</f>
        <v>0.051161119866506</v>
      </c>
      <c r="C29" s="9" t="n">
        <f aca="false">IFERROR((Coarse_values!D29-Coarse_values!C29)/ABS(Coarse_values!C29),"")</f>
        <v>0.0453109325219655</v>
      </c>
      <c r="D29" s="9" t="n">
        <f aca="false">IFERROR((Coarse_values!E29-Coarse_values!D29)/ABS(Coarse_values!D29),"")</f>
        <v>0.0394974963404808</v>
      </c>
      <c r="E29" s="9" t="n">
        <f aca="false">IFERROR((Coarse_values!F29-Coarse_values!E29)/ABS(Coarse_values!E29),"")</f>
        <v>0.0415273358872801</v>
      </c>
      <c r="F29" s="9" t="n">
        <f aca="false">IFERROR((Coarse_values!G29-Coarse_values!F29)/ABS(Coarse_values!F29),"")</f>
        <v>-0.0192500263005116</v>
      </c>
      <c r="G29" s="9" t="n">
        <f aca="false">IFERROR((Coarse_values!H29-Coarse_values!G29)/ABS(Coarse_values!G29),"")</f>
        <v>0.0104505807312823</v>
      </c>
    </row>
    <row r="30" customFormat="false" ht="15" hidden="false" customHeight="false" outlineLevel="0" collapsed="false">
      <c r="A30" s="2" t="str">
        <f aca="false">Coarse_values!A30</f>
        <v>Plume 1st cell: pressure ratio across closing shock [-]</v>
      </c>
      <c r="B30" s="9" t="n">
        <f aca="false">IFERROR((Coarse_values!C30-Coarse_values!B30)/ABS(Coarse_values!B30),"")</f>
        <v>0.137445775077448</v>
      </c>
      <c r="C30" s="9" t="n">
        <f aca="false">IFERROR((Coarse_values!D30-Coarse_values!C30)/ABS(Coarse_values!C30),"")</f>
        <v>0.134667682300352</v>
      </c>
      <c r="D30" s="9" t="n">
        <f aca="false">IFERROR((Coarse_values!E30-Coarse_values!D30)/ABS(Coarse_values!D30),"")</f>
        <v>0.122099384488069</v>
      </c>
      <c r="E30" s="9" t="n">
        <f aca="false">IFERROR((Coarse_values!F30-Coarse_values!E30)/ABS(Coarse_values!E30),"")</f>
        <v>0.118693509380879</v>
      </c>
      <c r="F30" s="9" t="n">
        <f aca="false">IFERROR((Coarse_values!G30-Coarse_values!F30)/ABS(Coarse_values!F30),"")</f>
        <v>0.0278685560700963</v>
      </c>
      <c r="G30" s="9" t="n">
        <f aca="false">IFERROR((Coarse_values!H30-Coarse_values!G30)/ABS(Coarse_values!G30),"")</f>
        <v>0.0625847943619692</v>
      </c>
    </row>
    <row r="31" customFormat="false" ht="15" hidden="false" customHeight="false" outlineLevel="0" collapsed="false">
      <c r="A31" s="2" t="str">
        <f aca="false">Coarse_values!A31</f>
        <v>Final relative residual [-]</v>
      </c>
      <c r="B31" s="9" t="n">
        <f aca="false">IFERROR((Coarse_values!C31-Coarse_values!B31)/ABS(Coarse_values!B31),"")</f>
        <v>2.55390185036203</v>
      </c>
      <c r="C31" s="9" t="n">
        <f aca="false">IFERROR((Coarse_values!D31-Coarse_values!C31)/ABS(Coarse_values!C31),"")</f>
        <v>0.758913412563667</v>
      </c>
      <c r="D31" s="9" t="n">
        <f aca="false">IFERROR((Coarse_values!E31-Coarse_values!D31)/ABS(Coarse_values!D31),"")</f>
        <v>0.366312741312741</v>
      </c>
      <c r="E31" s="9" t="n">
        <f aca="false">IFERROR((Coarse_values!F31-Coarse_values!E31)/ABS(Coarse_values!E31),"")</f>
        <v>0.522430236665489</v>
      </c>
      <c r="F31" s="9" t="n">
        <f aca="false">IFERROR((Coarse_values!G31-Coarse_values!F31)/ABS(Coarse_values!F31),"")</f>
        <v>0.216550657385924</v>
      </c>
      <c r="G31" s="9" t="n">
        <f aca="false">IFERROR((Coarse_values!H31-Coarse_values!G31)/ABS(Coarse_values!G31),"")</f>
        <v>-0.00254291163382084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53</v>
      </c>
    </row>
    <row r="3" customFormat="false" ht="15" hidden="false" customHeight="false" outlineLevel="0" collapsed="false">
      <c r="A3" s="4" t="s">
        <v>54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">
        <v>55</v>
      </c>
      <c r="B4" s="10" t="n">
        <v>0.1487</v>
      </c>
      <c r="C4" s="10" t="n">
        <v>0.1227</v>
      </c>
      <c r="D4" s="10" t="n">
        <v>0.103</v>
      </c>
      <c r="E4" s="10" t="n">
        <v>0.0904</v>
      </c>
      <c r="F4" s="10" t="n">
        <v>0.0727</v>
      </c>
      <c r="G4" s="10" t="n">
        <v>0.0673</v>
      </c>
    </row>
    <row r="5" customFormat="false" ht="15" hidden="false" customHeight="false" outlineLevel="0" collapsed="false">
      <c r="A5" s="2" t="s">
        <v>56</v>
      </c>
      <c r="B5" s="10" t="n">
        <v>0.2043</v>
      </c>
      <c r="C5" s="10" t="n">
        <v>0.1639</v>
      </c>
      <c r="D5" s="10" t="n">
        <v>0.1343</v>
      </c>
      <c r="E5" s="10" t="n">
        <v>0.1023</v>
      </c>
      <c r="F5" s="10" t="n">
        <v>0.0973</v>
      </c>
      <c r="G5" s="10" t="n">
        <v>0.0841</v>
      </c>
    </row>
    <row r="6" customFormat="false" ht="15" hidden="false" customHeight="false" outlineLevel="0" collapsed="false">
      <c r="A6" s="2" t="s">
        <v>57</v>
      </c>
      <c r="B6" s="10" t="n">
        <v>0.1794</v>
      </c>
      <c r="C6" s="10" t="n">
        <v>0.1474</v>
      </c>
      <c r="D6" s="10" t="n">
        <v>0.1233</v>
      </c>
      <c r="E6" s="10" t="n">
        <v>0.1043</v>
      </c>
      <c r="F6" s="10" t="n">
        <v>0.0883</v>
      </c>
      <c r="G6" s="10" t="n">
        <v>0.0799</v>
      </c>
    </row>
    <row r="7" customFormat="false" ht="15" hidden="false" customHeight="false" outlineLevel="0" collapsed="false">
      <c r="A7" s="2" t="s">
        <v>58</v>
      </c>
      <c r="B7" s="10" t="n">
        <v>0.2271</v>
      </c>
      <c r="C7" s="10" t="n">
        <v>0.1812</v>
      </c>
      <c r="D7" s="10" t="n">
        <v>0.1482</v>
      </c>
      <c r="E7" s="10" t="n">
        <v>0.1117</v>
      </c>
      <c r="F7" s="10" t="n">
        <v>0.1073</v>
      </c>
      <c r="G7" s="10" t="n">
        <v>0.0926</v>
      </c>
    </row>
    <row r="8" customFormat="false" ht="15" hidden="false" customHeight="false" outlineLevel="0" collapsed="false">
      <c r="A8" s="2" t="s">
        <v>59</v>
      </c>
      <c r="B8" s="10" t="n">
        <v>0.1327</v>
      </c>
      <c r="C8" s="10" t="n">
        <v>0.1079</v>
      </c>
      <c r="D8" s="10" t="n">
        <v>0.0895</v>
      </c>
      <c r="E8" s="10" t="n">
        <v>0.0759</v>
      </c>
      <c r="F8" s="10" t="n">
        <v>0.0639</v>
      </c>
      <c r="G8" s="10" t="n">
        <v>0.0571</v>
      </c>
    </row>
    <row r="9" customFormat="false" ht="15" hidden="false" customHeight="false" outlineLevel="0" collapsed="false">
      <c r="A9" s="2" t="s">
        <v>60</v>
      </c>
      <c r="B9" s="10" t="n">
        <v>1.1712</v>
      </c>
      <c r="C9" s="10" t="n">
        <v>1.0241</v>
      </c>
      <c r="D9" s="10" t="n">
        <v>0.8249</v>
      </c>
      <c r="E9" s="10" t="n">
        <v>0.7039</v>
      </c>
      <c r="F9" s="10" t="n">
        <v>0.6944</v>
      </c>
      <c r="G9" s="10" t="n">
        <v>0.592</v>
      </c>
    </row>
    <row r="10" customFormat="false" ht="15" hidden="false" customHeight="false" outlineLevel="0" collapsed="false">
      <c r="A10" s="2" t="s">
        <v>61</v>
      </c>
      <c r="B10" s="10" t="n">
        <v>0.5769</v>
      </c>
      <c r="C10" s="10" t="n">
        <v>0.6047</v>
      </c>
      <c r="D10" s="10" t="n">
        <v>0.5202</v>
      </c>
      <c r="E10" s="10" t="n">
        <v>0.4316</v>
      </c>
      <c r="F10" s="10" t="n">
        <v>0.5929</v>
      </c>
      <c r="G10" s="10" t="n">
        <v>0.5427</v>
      </c>
    </row>
    <row r="11" customFormat="false" ht="15" hidden="false" customHeight="false" outlineLevel="0" collapsed="false">
      <c r="A11" s="2" t="s">
        <v>62</v>
      </c>
      <c r="B11" s="10" t="n">
        <v>1.0568</v>
      </c>
      <c r="C11" s="10" t="n">
        <v>0.903</v>
      </c>
      <c r="D11" s="10" t="n">
        <v>0.761</v>
      </c>
      <c r="E11" s="10" t="n">
        <v>0.6653</v>
      </c>
      <c r="F11" s="10" t="n">
        <v>0.751</v>
      </c>
      <c r="G11" s="10" t="n">
        <v>0.6472</v>
      </c>
    </row>
    <row r="12" customFormat="false" ht="15" hidden="false" customHeight="false" outlineLevel="0" collapsed="false">
      <c r="A12" s="2" t="s">
        <v>63</v>
      </c>
      <c r="B12" s="10" t="n">
        <v>0.9411</v>
      </c>
      <c r="C12" s="10" t="n">
        <v>0.7438</v>
      </c>
      <c r="D12" s="10" t="n">
        <v>0.6175</v>
      </c>
      <c r="E12" s="10" t="n">
        <v>0.5424</v>
      </c>
      <c r="F12" s="10" t="n">
        <v>0.6274</v>
      </c>
      <c r="G12" s="10" t="n">
        <v>0.9351</v>
      </c>
    </row>
    <row r="13" customFormat="false" ht="15" hidden="false" customHeight="false" outlineLevel="0" collapsed="false">
      <c r="A13" s="2" t="s">
        <v>64</v>
      </c>
      <c r="B13" s="10" t="n">
        <v>0.9414</v>
      </c>
      <c r="C13" s="10" t="n">
        <v>0.8287</v>
      </c>
      <c r="D13" s="10" t="n">
        <v>0.6659</v>
      </c>
      <c r="E13" s="10" t="n">
        <v>0.5522</v>
      </c>
      <c r="F13" s="10" t="n">
        <v>0.5778</v>
      </c>
      <c r="G13" s="10" t="n">
        <v>0.4517</v>
      </c>
    </row>
    <row r="14" customFormat="false" ht="15" hidden="false" customHeight="false" outlineLevel="0" collapsed="false">
      <c r="A14" s="2" t="s">
        <v>65</v>
      </c>
      <c r="B14" s="10" t="n">
        <v>0.9992</v>
      </c>
      <c r="C14" s="10" t="n">
        <v>0.8541</v>
      </c>
      <c r="D14" s="10" t="n">
        <v>0.8771</v>
      </c>
      <c r="E14" s="10" t="n">
        <v>1.7788</v>
      </c>
      <c r="F14" s="10" t="n">
        <v>4.9003</v>
      </c>
      <c r="G14" s="10" t="n">
        <v>3.056</v>
      </c>
    </row>
    <row r="15" customFormat="false" ht="15" hidden="false" customHeight="false" outlineLevel="0" collapsed="false">
      <c r="A15" s="2" t="s">
        <v>66</v>
      </c>
      <c r="B15" s="10" t="n">
        <v>0.5363</v>
      </c>
      <c r="C15" s="10" t="n">
        <v>0.6054</v>
      </c>
      <c r="D15" s="10" t="n">
        <v>0.883</v>
      </c>
      <c r="E15" s="10" t="n">
        <v>2.5219</v>
      </c>
      <c r="F15" s="10" t="n">
        <v>6.3605</v>
      </c>
      <c r="G15" s="10" t="n">
        <v>3.0172</v>
      </c>
    </row>
    <row r="16" customFormat="false" ht="15" hidden="false" customHeight="false" outlineLevel="0" collapsed="false">
      <c r="A16" s="2" t="s">
        <v>67</v>
      </c>
      <c r="B16" s="10" t="n">
        <v>0.9163</v>
      </c>
      <c r="C16" s="10" t="n">
        <v>0.7976</v>
      </c>
      <c r="D16" s="10" t="n">
        <v>0.9889</v>
      </c>
      <c r="E16" s="10" t="n">
        <v>2.3152</v>
      </c>
      <c r="F16" s="10" t="n">
        <v>7.2078</v>
      </c>
      <c r="G16" s="10" t="n">
        <v>4.7088</v>
      </c>
    </row>
    <row r="17" customFormat="false" ht="15" hidden="false" customHeight="false" outlineLevel="0" collapsed="false">
      <c r="A17" s="2" t="s">
        <v>68</v>
      </c>
      <c r="B17" s="10" t="n">
        <v>1.1944</v>
      </c>
      <c r="C17" s="10" t="n">
        <v>1.0127</v>
      </c>
      <c r="D17" s="10" t="n">
        <v>1.3707</v>
      </c>
      <c r="E17" s="10" t="n">
        <v>3.9582</v>
      </c>
      <c r="F17" s="10" t="n">
        <v>12.9098</v>
      </c>
      <c r="G17" s="10" t="n">
        <v>5.5445</v>
      </c>
    </row>
    <row r="18" customFormat="false" ht="15" hidden="false" customHeight="false" outlineLevel="0" collapsed="false">
      <c r="A18" s="2" t="s">
        <v>69</v>
      </c>
      <c r="B18" s="10" t="n">
        <v>0.8862</v>
      </c>
      <c r="C18" s="10" t="n">
        <v>0.7624</v>
      </c>
      <c r="D18" s="10" t="n">
        <v>0.7968</v>
      </c>
      <c r="E18" s="10" t="n">
        <v>1.7324</v>
      </c>
      <c r="F18" s="10" t="n">
        <v>5.1072</v>
      </c>
      <c r="G18" s="10" t="n">
        <v>2.9921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72</v>
      </c>
    </row>
    <row r="3" customFormat="false" ht="23.85" hidden="false" customHeight="false" outlineLevel="0" collapsed="false">
      <c r="A3" s="4" t="s">
        <v>9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80</v>
      </c>
    </row>
    <row r="4" customFormat="false" ht="15" hidden="false" customHeight="false" outlineLevel="0" collapsed="false">
      <c r="A4" s="2" t="s">
        <v>17</v>
      </c>
      <c r="B4" s="5" t="n">
        <v>14355</v>
      </c>
      <c r="C4" s="5" t="n">
        <v>17700</v>
      </c>
      <c r="D4" s="5" t="n">
        <v>21395</v>
      </c>
      <c r="E4" s="5" t="n">
        <v>25500</v>
      </c>
      <c r="F4" s="5" t="n">
        <v>29900</v>
      </c>
      <c r="G4" s="5" t="n">
        <v>34720</v>
      </c>
      <c r="H4" s="5" t="n">
        <v>39825</v>
      </c>
      <c r="I4" s="5" t="n">
        <v>45280</v>
      </c>
    </row>
    <row r="5" customFormat="false" ht="15" hidden="false" customHeight="false" outlineLevel="0" collapsed="false">
      <c r="A5" s="2" t="s">
        <v>18</v>
      </c>
      <c r="B5" s="6" t="n">
        <v>2338.2</v>
      </c>
      <c r="C5" s="6" t="n">
        <v>2342.94</v>
      </c>
      <c r="D5" s="6" t="n">
        <v>2346.93</v>
      </c>
      <c r="E5" s="6" t="n">
        <v>2350.34</v>
      </c>
      <c r="F5" s="6" t="n">
        <v>2353.28</v>
      </c>
      <c r="G5" s="6" t="n">
        <v>2355.84</v>
      </c>
      <c r="H5" s="6" t="n">
        <v>2358.09</v>
      </c>
      <c r="I5" s="6" t="n">
        <v>2360.08</v>
      </c>
    </row>
    <row r="6" customFormat="false" ht="15" hidden="false" customHeight="false" outlineLevel="0" collapsed="false">
      <c r="A6" s="2" t="s">
        <v>19</v>
      </c>
      <c r="B6" s="6" t="n">
        <v>2339.09</v>
      </c>
      <c r="C6" s="6" t="n">
        <v>2348.71</v>
      </c>
      <c r="D6" s="6" t="n">
        <v>2338.19</v>
      </c>
      <c r="E6" s="6" t="n">
        <v>2339.43</v>
      </c>
      <c r="F6" s="6" t="n">
        <v>2343.95</v>
      </c>
      <c r="G6" s="6" t="n">
        <v>2351.57</v>
      </c>
      <c r="H6" s="6" t="n">
        <v>2358.39</v>
      </c>
      <c r="I6" s="6" t="n">
        <v>2359.76</v>
      </c>
    </row>
    <row r="7" customFormat="false" ht="15" hidden="false" customHeight="false" outlineLevel="0" collapsed="false">
      <c r="A7" s="2" t="s">
        <v>20</v>
      </c>
      <c r="B7" s="6" t="n">
        <v>4558270</v>
      </c>
      <c r="C7" s="6" t="n">
        <v>4567850</v>
      </c>
      <c r="D7" s="6" t="n">
        <v>4574390</v>
      </c>
      <c r="E7" s="6" t="n">
        <v>4579550</v>
      </c>
      <c r="F7" s="6" t="n">
        <v>4585230</v>
      </c>
      <c r="G7" s="6" t="n">
        <v>4589970</v>
      </c>
      <c r="H7" s="6" t="n">
        <v>4594300</v>
      </c>
      <c r="I7" s="6" t="n">
        <v>4597740</v>
      </c>
    </row>
    <row r="8" customFormat="false" ht="15" hidden="false" customHeight="false" outlineLevel="0" collapsed="false">
      <c r="A8" s="2" t="s">
        <v>21</v>
      </c>
      <c r="B8" s="6" t="n">
        <v>4509300</v>
      </c>
      <c r="C8" s="6" t="n">
        <v>4526570</v>
      </c>
      <c r="D8" s="6" t="n">
        <v>4510240</v>
      </c>
      <c r="E8" s="6" t="n">
        <v>4522220</v>
      </c>
      <c r="F8" s="6" t="n">
        <v>4530900</v>
      </c>
      <c r="G8" s="6" t="n">
        <v>4547850</v>
      </c>
      <c r="H8" s="6" t="n">
        <v>4561900</v>
      </c>
      <c r="I8" s="6" t="n">
        <v>4567050</v>
      </c>
    </row>
    <row r="9" customFormat="false" ht="15" hidden="false" customHeight="false" outlineLevel="0" collapsed="false">
      <c r="A9" s="2" t="s">
        <v>22</v>
      </c>
      <c r="B9" s="6" t="n">
        <v>196.581</v>
      </c>
      <c r="C9" s="6" t="n">
        <v>196.526</v>
      </c>
      <c r="D9" s="6" t="n">
        <v>196.698</v>
      </c>
      <c r="E9" s="6" t="n">
        <v>197.116</v>
      </c>
      <c r="F9" s="6" t="n">
        <v>197.113</v>
      </c>
      <c r="G9" s="6" t="n">
        <v>197.21</v>
      </c>
      <c r="H9" s="6" t="n">
        <v>197.246</v>
      </c>
      <c r="I9" s="6" t="n">
        <v>197.355</v>
      </c>
    </row>
    <row r="10" customFormat="false" ht="15" hidden="false" customHeight="false" outlineLevel="0" collapsed="false">
      <c r="A10" s="2" t="s">
        <v>23</v>
      </c>
      <c r="B10" s="6" t="n">
        <v>0.960057</v>
      </c>
      <c r="C10" s="6" t="n">
        <v>0.964005</v>
      </c>
      <c r="D10" s="6" t="n">
        <v>0.959686</v>
      </c>
      <c r="E10" s="6" t="n">
        <v>0.960195</v>
      </c>
      <c r="F10" s="6" t="n">
        <v>0.962049</v>
      </c>
      <c r="G10" s="6" t="n">
        <v>0.965178</v>
      </c>
      <c r="H10" s="6" t="n">
        <v>0.967978</v>
      </c>
      <c r="I10" s="6" t="n">
        <v>0.968539</v>
      </c>
    </row>
    <row r="11" customFormat="false" ht="15" hidden="false" customHeight="false" outlineLevel="0" collapsed="false">
      <c r="A11" s="2" t="s">
        <v>24</v>
      </c>
      <c r="B11" s="6" t="n">
        <v>3.055</v>
      </c>
      <c r="C11" s="6" t="n">
        <v>3.039</v>
      </c>
      <c r="D11" s="6" t="n">
        <v>3.023</v>
      </c>
      <c r="E11" s="6" t="n">
        <v>3.009</v>
      </c>
      <c r="F11" s="6" t="n">
        <v>2.996</v>
      </c>
      <c r="G11" s="6" t="n">
        <v>2.984</v>
      </c>
      <c r="H11" s="6" t="n">
        <v>2.972</v>
      </c>
      <c r="I11" s="6" t="n">
        <v>2.962</v>
      </c>
    </row>
    <row r="12" customFormat="false" ht="15" hidden="false" customHeight="false" outlineLevel="0" collapsed="false">
      <c r="A12" s="2" t="s">
        <v>25</v>
      </c>
      <c r="B12" s="6" t="n">
        <v>1230</v>
      </c>
      <c r="C12" s="6" t="n">
        <v>1238</v>
      </c>
      <c r="D12" s="6" t="n">
        <v>1246</v>
      </c>
      <c r="E12" s="6" t="n">
        <v>1254</v>
      </c>
      <c r="F12" s="6" t="n">
        <v>1260</v>
      </c>
      <c r="G12" s="6" t="n">
        <v>1267</v>
      </c>
      <c r="H12" s="6" t="n">
        <v>1273</v>
      </c>
      <c r="I12" s="6" t="n">
        <v>1278</v>
      </c>
    </row>
    <row r="13" customFormat="false" ht="15" hidden="false" customHeight="false" outlineLevel="0" collapsed="false">
      <c r="A13" s="2" t="s">
        <v>26</v>
      </c>
      <c r="B13" s="6" t="n">
        <v>62736</v>
      </c>
      <c r="C13" s="6" t="n">
        <v>64802</v>
      </c>
      <c r="D13" s="6" t="n">
        <v>66752</v>
      </c>
      <c r="E13" s="6" t="n">
        <v>68583</v>
      </c>
      <c r="F13" s="6" t="n">
        <v>70296</v>
      </c>
      <c r="G13" s="6" t="n">
        <v>71891</v>
      </c>
      <c r="H13" s="6" t="n">
        <v>73370</v>
      </c>
      <c r="I13" s="6" t="n">
        <v>74737</v>
      </c>
    </row>
    <row r="14" customFormat="false" ht="15" hidden="false" customHeight="false" outlineLevel="0" collapsed="false">
      <c r="A14" s="2" t="s">
        <v>27</v>
      </c>
      <c r="B14" s="6" t="n">
        <v>2088.6</v>
      </c>
      <c r="C14" s="6" t="n">
        <v>2084.1</v>
      </c>
      <c r="D14" s="6" t="n">
        <v>2079.8</v>
      </c>
      <c r="E14" s="6" t="n">
        <v>2075.8</v>
      </c>
      <c r="F14" s="6" t="n">
        <v>2072.2</v>
      </c>
      <c r="G14" s="6" t="n">
        <v>2068.7</v>
      </c>
      <c r="H14" s="6" t="n">
        <v>2065.6</v>
      </c>
      <c r="I14" s="6" t="n">
        <v>2062.7</v>
      </c>
    </row>
    <row r="15" customFormat="false" ht="15" hidden="false" customHeight="false" outlineLevel="0" collapsed="false">
      <c r="A15" s="2" t="s">
        <v>28</v>
      </c>
      <c r="B15" s="6" t="n">
        <v>0.177752</v>
      </c>
      <c r="C15" s="6" t="n">
        <v>0.182337</v>
      </c>
      <c r="D15" s="6" t="n">
        <v>0.186615</v>
      </c>
      <c r="E15" s="6" t="n">
        <v>0.190595</v>
      </c>
      <c r="F15" s="6" t="n">
        <v>0.194285</v>
      </c>
      <c r="G15" s="6" t="n">
        <v>0.197696</v>
      </c>
      <c r="H15" s="6" t="n">
        <v>0.200838</v>
      </c>
      <c r="I15" s="6" t="n">
        <v>0.203725</v>
      </c>
    </row>
    <row r="16" customFormat="false" ht="15" hidden="false" customHeight="false" outlineLevel="0" collapsed="false">
      <c r="A16" s="2" t="s">
        <v>29</v>
      </c>
      <c r="B16" s="6" t="n">
        <v>3.113</v>
      </c>
      <c r="C16" s="6" t="n">
        <v>3.106</v>
      </c>
      <c r="D16" s="6" t="n">
        <v>3.116</v>
      </c>
      <c r="E16" s="6" t="n">
        <v>3.134</v>
      </c>
      <c r="F16" s="6" t="n">
        <v>3.131</v>
      </c>
      <c r="G16" s="6" t="n">
        <v>3.132</v>
      </c>
      <c r="H16" s="6" t="n">
        <v>3.131</v>
      </c>
      <c r="I16" s="6" t="n">
        <v>3.135</v>
      </c>
    </row>
    <row r="17" customFormat="false" ht="15" hidden="false" customHeight="false" outlineLevel="0" collapsed="false">
      <c r="A17" s="2" t="s">
        <v>30</v>
      </c>
      <c r="B17" s="6" t="n">
        <v>0.81994</v>
      </c>
      <c r="C17" s="6" t="n">
        <v>0.81907</v>
      </c>
      <c r="D17" s="6" t="n">
        <v>0.81835</v>
      </c>
      <c r="E17" s="6" t="n">
        <v>0.81776</v>
      </c>
      <c r="F17" s="6" t="n">
        <v>0.81726</v>
      </c>
      <c r="G17" s="6" t="n">
        <v>0.81683</v>
      </c>
      <c r="H17" s="6" t="n">
        <v>0.81646</v>
      </c>
      <c r="I17" s="6" t="n">
        <v>0.81612</v>
      </c>
    </row>
    <row r="18" customFormat="false" ht="15" hidden="false" customHeight="false" outlineLevel="0" collapsed="false">
      <c r="A18" s="2" t="s">
        <v>31</v>
      </c>
      <c r="B18" s="6" t="n">
        <v>5.4136</v>
      </c>
      <c r="C18" s="6" t="n">
        <v>5.52595</v>
      </c>
      <c r="D18" s="6" t="n">
        <v>5.68222</v>
      </c>
      <c r="E18" s="6" t="n">
        <v>5.80752</v>
      </c>
      <c r="F18" s="6" t="n">
        <v>5.86771</v>
      </c>
      <c r="G18" s="6" t="n">
        <v>5.96356</v>
      </c>
      <c r="H18" s="6" t="n">
        <v>6.05453</v>
      </c>
      <c r="I18" s="6" t="n">
        <v>6.13524</v>
      </c>
    </row>
    <row r="19" customFormat="false" ht="15" hidden="false" customHeight="false" outlineLevel="0" collapsed="false">
      <c r="A19" s="2" t="s">
        <v>32</v>
      </c>
      <c r="B19" s="6" t="n">
        <v>3.67571</v>
      </c>
      <c r="C19" s="6" t="n">
        <v>3.71807</v>
      </c>
      <c r="D19" s="6" t="n">
        <v>3.75727</v>
      </c>
      <c r="E19" s="6" t="n">
        <v>3.79109</v>
      </c>
      <c r="F19" s="6" t="n">
        <v>3.82223</v>
      </c>
      <c r="G19" s="6" t="n">
        <v>3.84989</v>
      </c>
      <c r="H19" s="6" t="n">
        <v>3.87449</v>
      </c>
      <c r="I19" s="6" t="n">
        <v>3.90274</v>
      </c>
    </row>
    <row r="20" customFormat="false" ht="15" hidden="false" customHeight="false" outlineLevel="0" collapsed="false">
      <c r="A20" s="2" t="s">
        <v>33</v>
      </c>
      <c r="B20" s="6" t="n">
        <v>22637.5</v>
      </c>
      <c r="C20" s="6" t="n">
        <v>21319.8</v>
      </c>
      <c r="D20" s="6" t="n">
        <v>20159.9</v>
      </c>
      <c r="E20" s="6" t="n">
        <v>19215.5</v>
      </c>
      <c r="F20" s="6" t="n">
        <v>18383.5</v>
      </c>
      <c r="G20" s="6" t="n">
        <v>17675.8</v>
      </c>
      <c r="H20" s="6" t="n">
        <v>17070.4</v>
      </c>
      <c r="I20" s="6" t="n">
        <v>16391.2</v>
      </c>
    </row>
    <row r="21" customFormat="false" ht="15" hidden="false" customHeight="false" outlineLevel="0" collapsed="false">
      <c r="A21" s="2" t="s">
        <v>34</v>
      </c>
      <c r="B21" s="6" t="n">
        <v>957.612</v>
      </c>
      <c r="C21" s="6" t="n">
        <v>941.973</v>
      </c>
      <c r="D21" s="6" t="n">
        <v>927.736</v>
      </c>
      <c r="E21" s="6" t="n">
        <v>915.692</v>
      </c>
      <c r="F21" s="6" t="n">
        <v>904.749</v>
      </c>
      <c r="G21" s="6" t="n">
        <v>895.171</v>
      </c>
      <c r="H21" s="6" t="n">
        <v>886.76</v>
      </c>
      <c r="I21" s="6" t="n">
        <v>877.172</v>
      </c>
    </row>
    <row r="22" customFormat="false" ht="15" hidden="false" customHeight="false" outlineLevel="0" collapsed="false">
      <c r="A22" s="2" t="s">
        <v>35</v>
      </c>
      <c r="B22" s="6" t="n">
        <v>0.0823519</v>
      </c>
      <c r="C22" s="6" t="n">
        <v>0.0788461</v>
      </c>
      <c r="D22" s="6" t="n">
        <v>0.0757006</v>
      </c>
      <c r="E22" s="6" t="n">
        <v>0.0731034</v>
      </c>
      <c r="F22" s="6" t="n">
        <v>0.0707838</v>
      </c>
      <c r="G22" s="6" t="n">
        <v>0.0687874</v>
      </c>
      <c r="H22" s="6" t="n">
        <v>0.0670613</v>
      </c>
      <c r="I22" s="6" t="n">
        <v>0.0650971</v>
      </c>
    </row>
    <row r="23" customFormat="false" ht="15" hidden="false" customHeight="false" outlineLevel="0" collapsed="false">
      <c r="A23" s="2" t="s">
        <v>36</v>
      </c>
      <c r="B23" s="6" t="n">
        <v>2231.52</v>
      </c>
      <c r="C23" s="6" t="n">
        <v>2239.75</v>
      </c>
      <c r="D23" s="6" t="n">
        <v>2247.16</v>
      </c>
      <c r="E23" s="6" t="n">
        <v>2253.46</v>
      </c>
      <c r="F23" s="6" t="n">
        <v>2259.12</v>
      </c>
      <c r="G23" s="6" t="n">
        <v>2264.08</v>
      </c>
      <c r="H23" s="6" t="n">
        <v>2268.43</v>
      </c>
      <c r="I23" s="6" t="n">
        <v>2273.3</v>
      </c>
    </row>
    <row r="24" customFormat="false" ht="15" hidden="false" customHeight="false" outlineLevel="0" collapsed="false">
      <c r="A24" s="2" t="s">
        <v>37</v>
      </c>
      <c r="B24" s="6" t="n">
        <v>6.27315</v>
      </c>
      <c r="C24" s="6" t="n">
        <v>6.30888</v>
      </c>
      <c r="D24" s="6" t="n">
        <v>6.33838</v>
      </c>
      <c r="E24" s="6" t="n">
        <v>6.35215</v>
      </c>
      <c r="F24" s="6" t="n">
        <v>6.43216</v>
      </c>
      <c r="G24" s="6" t="n">
        <v>6.43713</v>
      </c>
      <c r="H24" s="6" t="n">
        <v>6.4506</v>
      </c>
      <c r="I24" s="6" t="n">
        <v>6.55834</v>
      </c>
    </row>
    <row r="25" customFormat="false" ht="15" hidden="false" customHeight="false" outlineLevel="0" collapsed="false">
      <c r="A25" s="2" t="s">
        <v>38</v>
      </c>
      <c r="B25" s="6" t="n">
        <v>3.27315</v>
      </c>
      <c r="C25" s="6" t="n">
        <v>3.30888</v>
      </c>
      <c r="D25" s="6" t="n">
        <v>3.33838</v>
      </c>
      <c r="E25" s="6" t="n">
        <v>3.35215</v>
      </c>
      <c r="F25" s="6" t="n">
        <v>3.43216</v>
      </c>
      <c r="G25" s="6" t="n">
        <v>3.43713</v>
      </c>
      <c r="H25" s="6" t="n">
        <v>3.4506</v>
      </c>
      <c r="I25" s="6" t="n">
        <v>3.55834</v>
      </c>
    </row>
    <row r="26" customFormat="false" ht="15" hidden="false" customHeight="false" outlineLevel="0" collapsed="false">
      <c r="A26" s="2" t="s">
        <v>39</v>
      </c>
      <c r="B26" s="6" t="n">
        <v>2.05885</v>
      </c>
      <c r="C26" s="6" t="n">
        <v>2.0033</v>
      </c>
      <c r="D26" s="6" t="n">
        <v>1.95386</v>
      </c>
      <c r="E26" s="6" t="n">
        <v>1.92133</v>
      </c>
      <c r="F26" s="6" t="n">
        <v>1.8264</v>
      </c>
      <c r="G26" s="6" t="n">
        <v>1.83311</v>
      </c>
      <c r="H26" s="6" t="n">
        <v>1.68459</v>
      </c>
      <c r="I26" s="6" t="n">
        <v>1.72324</v>
      </c>
    </row>
    <row r="27" customFormat="false" ht="15" hidden="false" customHeight="false" outlineLevel="0" collapsed="false">
      <c r="A27" s="2" t="s">
        <v>40</v>
      </c>
      <c r="B27" s="6" t="n">
        <v>276597</v>
      </c>
      <c r="C27" s="6" t="n">
        <v>295010</v>
      </c>
      <c r="D27" s="6" t="n">
        <v>309219</v>
      </c>
      <c r="E27" s="6" t="n">
        <v>346388</v>
      </c>
      <c r="F27" s="6" t="n">
        <v>351404</v>
      </c>
      <c r="G27" s="6" t="n">
        <v>395101</v>
      </c>
      <c r="H27" s="6" t="n">
        <v>464647</v>
      </c>
      <c r="I27" s="6" t="n">
        <v>358743</v>
      </c>
    </row>
    <row r="28" customFormat="false" ht="15" hidden="false" customHeight="false" outlineLevel="0" collapsed="false">
      <c r="A28" s="2" t="s">
        <v>41</v>
      </c>
      <c r="B28" s="6" t="n">
        <v>1843.29</v>
      </c>
      <c r="C28" s="6" t="n">
        <v>1880.61</v>
      </c>
      <c r="D28" s="6" t="n">
        <v>1911.75</v>
      </c>
      <c r="E28" s="6" t="n">
        <v>1969.67</v>
      </c>
      <c r="F28" s="6" t="n">
        <v>1996.97</v>
      </c>
      <c r="G28" s="6" t="n">
        <v>2054.11</v>
      </c>
      <c r="H28" s="6" t="n">
        <v>2166.3</v>
      </c>
      <c r="I28" s="6" t="n">
        <v>2042.36</v>
      </c>
    </row>
    <row r="29" customFormat="false" ht="15" hidden="false" customHeight="false" outlineLevel="0" collapsed="false">
      <c r="A29" s="2" t="s">
        <v>42</v>
      </c>
      <c r="B29" s="6" t="n">
        <v>0.522579</v>
      </c>
      <c r="C29" s="6" t="n">
        <v>0.546478</v>
      </c>
      <c r="D29" s="6" t="n">
        <v>0.563379</v>
      </c>
      <c r="E29" s="6" t="n">
        <v>0.612638</v>
      </c>
      <c r="F29" s="6" t="n">
        <v>0.611742</v>
      </c>
      <c r="G29" s="6" t="n">
        <v>0.66996</v>
      </c>
      <c r="H29" s="6" t="n">
        <v>0.744196</v>
      </c>
      <c r="I29" s="6" t="n">
        <v>0.608387</v>
      </c>
    </row>
    <row r="30" customFormat="false" ht="15" hidden="false" customHeight="false" outlineLevel="0" collapsed="false">
      <c r="A30" s="2" t="s">
        <v>43</v>
      </c>
      <c r="B30" s="6" t="n">
        <v>12.218531198233</v>
      </c>
      <c r="C30" s="6" t="n">
        <v>13.8373718327564</v>
      </c>
      <c r="D30" s="6" t="n">
        <v>15.3383201305562</v>
      </c>
      <c r="E30" s="6" t="n">
        <v>18.0264890322916</v>
      </c>
      <c r="F30" s="6" t="n">
        <v>19.1151848124677</v>
      </c>
      <c r="G30" s="6" t="n">
        <v>22.3526516480159</v>
      </c>
      <c r="H30" s="6" t="n">
        <v>27.2194559002718</v>
      </c>
      <c r="I30" s="6" t="n">
        <v>21.8863170481722</v>
      </c>
    </row>
    <row r="31" customFormat="false" ht="15" hidden="false" customHeight="false" outlineLevel="0" collapsed="false">
      <c r="A31" s="2" t="s">
        <v>44</v>
      </c>
      <c r="B31" s="7" t="n">
        <v>0.01245</v>
      </c>
      <c r="C31" s="7" t="n">
        <v>0.02213</v>
      </c>
      <c r="D31" s="7" t="n">
        <v>0.02433</v>
      </c>
      <c r="E31" s="7" t="n">
        <v>0.02309</v>
      </c>
      <c r="F31" s="7" t="n">
        <v>0.03068</v>
      </c>
      <c r="G31" s="7" t="n">
        <v>0.02416</v>
      </c>
      <c r="H31" s="7" t="n">
        <v>0.03161</v>
      </c>
      <c r="I31" s="7" t="n">
        <v>0.03583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81</v>
      </c>
    </row>
    <row r="3" customFormat="false" ht="15" hidden="false" customHeight="false" outlineLevel="0" collapsed="false">
      <c r="A3" s="4" t="s">
        <v>9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tr">
        <f aca="false">Fine_values!A4</f>
        <v>Cells [-]</v>
      </c>
      <c r="B4" s="9" t="n">
        <f aca="false">IFERROR((Fine_values!C4-Fine_values!B4)/ABS(Fine_values!B4),"")</f>
        <v>0.233019853709509</v>
      </c>
      <c r="C4" s="9" t="n">
        <f aca="false">IFERROR((Fine_values!D4-Fine_values!C4)/ABS(Fine_values!C4),"")</f>
        <v>0.208757062146893</v>
      </c>
      <c r="D4" s="9" t="n">
        <f aca="false">IFERROR((Fine_values!E4-Fine_values!D4)/ABS(Fine_values!D4),"")</f>
        <v>0.191867258705305</v>
      </c>
      <c r="E4" s="9" t="n">
        <f aca="false">IFERROR((Fine_values!F4-Fine_values!E4)/ABS(Fine_values!E4),"")</f>
        <v>0.172549019607843</v>
      </c>
      <c r="F4" s="9" t="n">
        <f aca="false">IFERROR((Fine_values!G4-Fine_values!F4)/ABS(Fine_values!F4),"")</f>
        <v>0.161204013377926</v>
      </c>
      <c r="G4" s="9" t="n">
        <f aca="false">IFERROR((Fine_values!H4-Fine_values!G4)/ABS(Fine_values!G4),"")</f>
        <v>0.147033410138249</v>
      </c>
      <c r="H4" s="9" t="n">
        <f aca="false">IFERROR((Fine_values!I4-Fine_values!H4)/ABS(Fine_values!H4),"")</f>
        <v>0.136974262397991</v>
      </c>
    </row>
    <row r="5" customFormat="false" ht="15" hidden="false" customHeight="false" outlineLevel="0" collapsed="false">
      <c r="A5" s="2" t="str">
        <f aca="false">Fine_values!A5</f>
        <v>Mass flow, inlet [kg/s]</v>
      </c>
      <c r="B5" s="9" t="n">
        <f aca="false">IFERROR((Fine_values!C5-Fine_values!B5)/ABS(Fine_values!B5),"")</f>
        <v>0.00202720041057234</v>
      </c>
      <c r="C5" s="9" t="n">
        <f aca="false">IFERROR((Fine_values!D5-Fine_values!C5)/ABS(Fine_values!C5),"")</f>
        <v>0.00170298855284377</v>
      </c>
      <c r="D5" s="9" t="n">
        <f aca="false">IFERROR((Fine_values!E5-Fine_values!D5)/ABS(Fine_values!D5),"")</f>
        <v>0.00145296195455353</v>
      </c>
      <c r="E5" s="9" t="n">
        <f aca="false">IFERROR((Fine_values!F5-Fine_values!E5)/ABS(Fine_values!E5),"")</f>
        <v>0.00125088285099179</v>
      </c>
      <c r="F5" s="9" t="n">
        <f aca="false">IFERROR((Fine_values!G5-Fine_values!F5)/ABS(Fine_values!F5),"")</f>
        <v>0.0010878433505575</v>
      </c>
      <c r="G5" s="9" t="n">
        <f aca="false">IFERROR((Fine_values!H5-Fine_values!G5)/ABS(Fine_values!G5),"")</f>
        <v>0.000955073349633252</v>
      </c>
      <c r="H5" s="9" t="n">
        <f aca="false">IFERROR((Fine_values!I5-Fine_values!H5)/ABS(Fine_values!H5),"")</f>
        <v>0.000843903328541227</v>
      </c>
    </row>
    <row r="6" customFormat="false" ht="15" hidden="false" customHeight="false" outlineLevel="0" collapsed="false">
      <c r="A6" s="2" t="str">
        <f aca="false">Fine_values!A6</f>
        <v>Mass flow, exit plane [kg/s]</v>
      </c>
      <c r="B6" s="9" t="n">
        <f aca="false">IFERROR((Fine_values!C6-Fine_values!B6)/ABS(Fine_values!B6),"")</f>
        <v>0.00411271049852716</v>
      </c>
      <c r="C6" s="9" t="n">
        <f aca="false">IFERROR((Fine_values!D6-Fine_values!C6)/ABS(Fine_values!C6),"")</f>
        <v>-0.00447905445968212</v>
      </c>
      <c r="D6" s="9" t="n">
        <f aca="false">IFERROR((Fine_values!E6-Fine_values!D6)/ABS(Fine_values!D6),"")</f>
        <v>0.000530324738365908</v>
      </c>
      <c r="E6" s="9" t="n">
        <f aca="false">IFERROR((Fine_values!F6-Fine_values!E6)/ABS(Fine_values!E6),"")</f>
        <v>0.00193209457004483</v>
      </c>
      <c r="F6" s="9" t="n">
        <f aca="false">IFERROR((Fine_values!G6-Fine_values!F6)/ABS(Fine_values!F6),"")</f>
        <v>0.00325092258793931</v>
      </c>
      <c r="G6" s="9" t="n">
        <f aca="false">IFERROR((Fine_values!H6-Fine_values!G6)/ABS(Fine_values!G6),"")</f>
        <v>0.00290019008577236</v>
      </c>
      <c r="H6" s="9" t="n">
        <f aca="false">IFERROR((Fine_values!I6-Fine_values!H6)/ABS(Fine_values!H6),"")</f>
        <v>0.00058090476977953</v>
      </c>
    </row>
    <row r="7" customFormat="false" ht="15" hidden="false" customHeight="false" outlineLevel="0" collapsed="false">
      <c r="A7" s="2" t="str">
        <f aca="false">Fine_values!A7</f>
        <v>Thrust, wall-pressure method [N]</v>
      </c>
      <c r="B7" s="9" t="n">
        <f aca="false">IFERROR((Fine_values!C7-Fine_values!B7)/ABS(Fine_values!B7),"")</f>
        <v>0.00210167453880529</v>
      </c>
      <c r="C7" s="9" t="n">
        <f aca="false">IFERROR((Fine_values!D7-Fine_values!C7)/ABS(Fine_values!C7),"")</f>
        <v>0.00143174578850006</v>
      </c>
      <c r="D7" s="9" t="n">
        <f aca="false">IFERROR((Fine_values!E7-Fine_values!D7)/ABS(Fine_values!D7),"")</f>
        <v>0.00112801925502635</v>
      </c>
      <c r="E7" s="9" t="n">
        <f aca="false">IFERROR((Fine_values!F7-Fine_values!E7)/ABS(Fine_values!E7),"")</f>
        <v>0.00124029653568582</v>
      </c>
      <c r="F7" s="9" t="n">
        <f aca="false">IFERROR((Fine_values!G7-Fine_values!F7)/ABS(Fine_values!F7),"")</f>
        <v>0.00103375403196786</v>
      </c>
      <c r="G7" s="9" t="n">
        <f aca="false">IFERROR((Fine_values!H7-Fine_values!G7)/ABS(Fine_values!G7),"")</f>
        <v>0.000943361285585745</v>
      </c>
      <c r="H7" s="9" t="n">
        <f aca="false">IFERROR((Fine_values!I7-Fine_values!H7)/ABS(Fine_values!H7),"")</f>
        <v>0.000748753890690638</v>
      </c>
    </row>
    <row r="8" customFormat="false" ht="15" hidden="false" customHeight="false" outlineLevel="0" collapsed="false">
      <c r="A8" s="2" t="str">
        <f aca="false">Fine_values!A8</f>
        <v>Thrust, exit-plane method [N]</v>
      </c>
      <c r="B8" s="9" t="n">
        <f aca="false">IFERROR((Fine_values!C8-Fine_values!B8)/ABS(Fine_values!B8),"")</f>
        <v>0.00382986272813962</v>
      </c>
      <c r="C8" s="9" t="n">
        <f aca="false">IFERROR((Fine_values!D8-Fine_values!C8)/ABS(Fine_values!C8),"")</f>
        <v>-0.00360758808545985</v>
      </c>
      <c r="D8" s="9" t="n">
        <f aca="false">IFERROR((Fine_values!E8-Fine_values!D8)/ABS(Fine_values!D8),"")</f>
        <v>0.00265617794175033</v>
      </c>
      <c r="E8" s="9" t="n">
        <f aca="false">IFERROR((Fine_values!F8-Fine_values!E8)/ABS(Fine_values!E8),"")</f>
        <v>0.00191941126260996</v>
      </c>
      <c r="F8" s="9" t="n">
        <f aca="false">IFERROR((Fine_values!G8-Fine_values!F8)/ABS(Fine_values!F8),"")</f>
        <v>0.00374097861352049</v>
      </c>
      <c r="G8" s="9" t="n">
        <f aca="false">IFERROR((Fine_values!H8-Fine_values!G8)/ABS(Fine_values!G8),"")</f>
        <v>0.00308937190100817</v>
      </c>
      <c r="H8" s="9" t="n">
        <f aca="false">IFERROR((Fine_values!I8-Fine_values!H8)/ABS(Fine_values!H8),"")</f>
        <v>0.00112891558341919</v>
      </c>
    </row>
    <row r="9" customFormat="false" ht="15" hidden="false" customHeight="false" outlineLevel="0" collapsed="false">
      <c r="A9" s="2" t="str">
        <f aca="false">Fine_values!A9</f>
        <v>Specific impulse Isp [s]</v>
      </c>
      <c r="B9" s="9" t="n">
        <f aca="false">IFERROR((Fine_values!C9-Fine_values!B9)/ABS(Fine_values!B9),"")</f>
        <v>-0.000279782888478431</v>
      </c>
      <c r="C9" s="9" t="n">
        <f aca="false">IFERROR((Fine_values!D9-Fine_values!C9)/ABS(Fine_values!C9),"")</f>
        <v>0.000875202263313745</v>
      </c>
      <c r="D9" s="9" t="n">
        <f aca="false">IFERROR((Fine_values!E9-Fine_values!D9)/ABS(Fine_values!D9),"")</f>
        <v>0.00212508515592434</v>
      </c>
      <c r="E9" s="9" t="n">
        <f aca="false">IFERROR((Fine_values!F9-Fine_values!E9)/ABS(Fine_values!E9),"")</f>
        <v>-1.52194646807683E-005</v>
      </c>
      <c r="F9" s="9" t="n">
        <f aca="false">IFERROR((Fine_values!G9-Fine_values!F9)/ABS(Fine_values!F9),"")</f>
        <v>0.000492103514227922</v>
      </c>
      <c r="G9" s="9" t="n">
        <f aca="false">IFERROR((Fine_values!H9-Fine_values!G9)/ABS(Fine_values!G9),"")</f>
        <v>0.000182546524009946</v>
      </c>
      <c r="H9" s="9" t="n">
        <f aca="false">IFERROR((Fine_values!I9-Fine_values!H9)/ABS(Fine_values!H9),"")</f>
        <v>0.000552609431876846</v>
      </c>
    </row>
    <row r="10" customFormat="false" ht="15" hidden="false" customHeight="false" outlineLevel="0" collapsed="false">
      <c r="A10" s="2" t="str">
        <f aca="false">Fine_values!A10</f>
        <v>Discharge coefficient Cd [-]</v>
      </c>
      <c r="B10" s="9" t="n">
        <f aca="false">IFERROR((Fine_values!C10-Fine_values!B10)/ABS(Fine_values!B10),"")</f>
        <v>0.00411225583480976</v>
      </c>
      <c r="C10" s="9" t="n">
        <f aca="false">IFERROR((Fine_values!D10-Fine_values!C10)/ABS(Fine_values!C10),"")</f>
        <v>-0.00448026721853098</v>
      </c>
      <c r="D10" s="9" t="n">
        <f aca="false">IFERROR((Fine_values!E10-Fine_values!D10)/ABS(Fine_values!D10),"")</f>
        <v>0.000530381812384448</v>
      </c>
      <c r="E10" s="9" t="n">
        <f aca="false">IFERROR((Fine_values!F10-Fine_values!E10)/ABS(Fine_values!E10),"")</f>
        <v>0.00193085779451051</v>
      </c>
      <c r="F10" s="9" t="n">
        <f aca="false">IFERROR((Fine_values!G10-Fine_values!F10)/ABS(Fine_values!F10),"")</f>
        <v>0.00325243308812746</v>
      </c>
      <c r="G10" s="9" t="n">
        <f aca="false">IFERROR((Fine_values!H10-Fine_values!G10)/ABS(Fine_values!G10),"")</f>
        <v>0.00290101929385049</v>
      </c>
      <c r="H10" s="9" t="n">
        <f aca="false">IFERROR((Fine_values!I10-Fine_values!H10)/ABS(Fine_values!H10),"")</f>
        <v>0.000579558626332452</v>
      </c>
    </row>
    <row r="11" customFormat="false" ht="15" hidden="false" customHeight="false" outlineLevel="0" collapsed="false">
      <c r="A11" s="2" t="str">
        <f aca="false">Fine_values!A11</f>
        <v>Exit-axis Mach [-]</v>
      </c>
      <c r="B11" s="9" t="n">
        <f aca="false">IFERROR((Fine_values!C11-Fine_values!B11)/ABS(Fine_values!B11),"")</f>
        <v>-0.00523731587561375</v>
      </c>
      <c r="C11" s="9" t="n">
        <f aca="false">IFERROR((Fine_values!D11-Fine_values!C11)/ABS(Fine_values!C11),"")</f>
        <v>-0.00526488976637052</v>
      </c>
      <c r="D11" s="9" t="n">
        <f aca="false">IFERROR((Fine_values!E11-Fine_values!D11)/ABS(Fine_values!D11),"")</f>
        <v>-0.00463116109824685</v>
      </c>
      <c r="E11" s="9" t="n">
        <f aca="false">IFERROR((Fine_values!F11-Fine_values!E11)/ABS(Fine_values!E11),"")</f>
        <v>-0.00432037221668325</v>
      </c>
      <c r="F11" s="9" t="n">
        <f aca="false">IFERROR((Fine_values!G11-Fine_values!F11)/ABS(Fine_values!F11),"")</f>
        <v>-0.00400534045393859</v>
      </c>
      <c r="G11" s="9" t="n">
        <f aca="false">IFERROR((Fine_values!H11-Fine_values!G11)/ABS(Fine_values!G11),"")</f>
        <v>-0.00402144772117963</v>
      </c>
      <c r="H11" s="9" t="n">
        <f aca="false">IFERROR((Fine_values!I11-Fine_values!H11)/ABS(Fine_values!H11),"")</f>
        <v>-0.00336473755047099</v>
      </c>
    </row>
    <row r="12" customFormat="false" ht="15" hidden="false" customHeight="false" outlineLevel="0" collapsed="false">
      <c r="A12" s="2" t="str">
        <f aca="false">Fine_values!A12</f>
        <v>Exit-axis temperature [K]</v>
      </c>
      <c r="B12" s="9" t="n">
        <f aca="false">IFERROR((Fine_values!C12-Fine_values!B12)/ABS(Fine_values!B12),"")</f>
        <v>0.00650406504065041</v>
      </c>
      <c r="C12" s="9" t="n">
        <f aca="false">IFERROR((Fine_values!D12-Fine_values!C12)/ABS(Fine_values!C12),"")</f>
        <v>0.00646203554119548</v>
      </c>
      <c r="D12" s="9" t="n">
        <f aca="false">IFERROR((Fine_values!E12-Fine_values!D12)/ABS(Fine_values!D12),"")</f>
        <v>0.00642054574638844</v>
      </c>
      <c r="E12" s="9" t="n">
        <f aca="false">IFERROR((Fine_values!F12-Fine_values!E12)/ABS(Fine_values!E12),"")</f>
        <v>0.00478468899521531</v>
      </c>
      <c r="F12" s="9" t="n">
        <f aca="false">IFERROR((Fine_values!G12-Fine_values!F12)/ABS(Fine_values!F12),"")</f>
        <v>0.00555555555555556</v>
      </c>
      <c r="G12" s="9" t="n">
        <f aca="false">IFERROR((Fine_values!H12-Fine_values!G12)/ABS(Fine_values!G12),"")</f>
        <v>0.00473559589581689</v>
      </c>
      <c r="H12" s="9" t="n">
        <f aca="false">IFERROR((Fine_values!I12-Fine_values!H12)/ABS(Fine_values!H12),"")</f>
        <v>0.00392772977219167</v>
      </c>
    </row>
    <row r="13" customFormat="false" ht="15" hidden="false" customHeight="false" outlineLevel="0" collapsed="false">
      <c r="A13" s="2" t="str">
        <f aca="false">Fine_values!A13</f>
        <v>Exit-axis pressure [Pa]</v>
      </c>
      <c r="B13" s="9" t="n">
        <f aca="false">IFERROR((Fine_values!C13-Fine_values!B13)/ABS(Fine_values!B13),"")</f>
        <v>0.0329316500892629</v>
      </c>
      <c r="C13" s="9" t="n">
        <f aca="false">IFERROR((Fine_values!D13-Fine_values!C13)/ABS(Fine_values!C13),"")</f>
        <v>0.0300916638375359</v>
      </c>
      <c r="D13" s="9" t="n">
        <f aca="false">IFERROR((Fine_values!E13-Fine_values!D13)/ABS(Fine_values!D13),"")</f>
        <v>0.0274298897411314</v>
      </c>
      <c r="E13" s="9" t="n">
        <f aca="false">IFERROR((Fine_values!F13-Fine_values!E13)/ABS(Fine_values!E13),"")</f>
        <v>0.0249770351253226</v>
      </c>
      <c r="F13" s="9" t="n">
        <f aca="false">IFERROR((Fine_values!G13-Fine_values!F13)/ABS(Fine_values!F13),"")</f>
        <v>0.0226897689768977</v>
      </c>
      <c r="G13" s="9" t="n">
        <f aca="false">IFERROR((Fine_values!H13-Fine_values!G13)/ABS(Fine_values!G13),"")</f>
        <v>0.0205728116175877</v>
      </c>
      <c r="H13" s="9" t="n">
        <f aca="false">IFERROR((Fine_values!I13-Fine_values!H13)/ABS(Fine_values!H13),"")</f>
        <v>0.018631593294262</v>
      </c>
    </row>
    <row r="14" customFormat="false" ht="15" hidden="false" customHeight="false" outlineLevel="0" collapsed="false">
      <c r="A14" s="2" t="str">
        <f aca="false">Fine_values!A14</f>
        <v>Exit-axis velocity [m/s]</v>
      </c>
      <c r="B14" s="9" t="n">
        <f aca="false">IFERROR((Fine_values!C14-Fine_values!B14)/ABS(Fine_values!B14),"")</f>
        <v>-0.00215455328928469</v>
      </c>
      <c r="C14" s="9" t="n">
        <f aca="false">IFERROR((Fine_values!D14-Fine_values!C14)/ABS(Fine_values!C14),"")</f>
        <v>-0.00206324072741218</v>
      </c>
      <c r="D14" s="9" t="n">
        <f aca="false">IFERROR((Fine_values!E14-Fine_values!D14)/ABS(Fine_values!D14),"")</f>
        <v>-0.00192326185210116</v>
      </c>
      <c r="E14" s="9" t="n">
        <f aca="false">IFERROR((Fine_values!F14-Fine_values!E14)/ABS(Fine_values!E14),"")</f>
        <v>-0.00173427112438595</v>
      </c>
      <c r="F14" s="9" t="n">
        <f aca="false">IFERROR((Fine_values!G14-Fine_values!F14)/ABS(Fine_values!F14),"")</f>
        <v>-0.00168902615577647</v>
      </c>
      <c r="G14" s="9" t="n">
        <f aca="false">IFERROR((Fine_values!H14-Fine_values!G14)/ABS(Fine_values!G14),"")</f>
        <v>-0.00149852564412429</v>
      </c>
      <c r="H14" s="9" t="n">
        <f aca="false">IFERROR((Fine_values!I14-Fine_values!H14)/ABS(Fine_values!H14),"")</f>
        <v>-0.00140395042602638</v>
      </c>
    </row>
    <row r="15" customFormat="false" ht="15" hidden="false" customHeight="false" outlineLevel="0" collapsed="false">
      <c r="A15" s="2" t="str">
        <f aca="false">Fine_values!A15</f>
        <v>Exit-axis density [kg/m3]</v>
      </c>
      <c r="B15" s="9" t="n">
        <f aca="false">IFERROR((Fine_values!C15-Fine_values!B15)/ABS(Fine_values!B15),"")</f>
        <v>0.0257943651829516</v>
      </c>
      <c r="C15" s="9" t="n">
        <f aca="false">IFERROR((Fine_values!D15-Fine_values!C15)/ABS(Fine_values!C15),"")</f>
        <v>0.0234620510373649</v>
      </c>
      <c r="D15" s="9" t="n">
        <f aca="false">IFERROR((Fine_values!E15-Fine_values!D15)/ABS(Fine_values!D15),"")</f>
        <v>0.0213273316721592</v>
      </c>
      <c r="E15" s="9" t="n">
        <f aca="false">IFERROR((Fine_values!F15-Fine_values!E15)/ABS(Fine_values!E15),"")</f>
        <v>0.0193604239355703</v>
      </c>
      <c r="F15" s="9" t="n">
        <f aca="false">IFERROR((Fine_values!G15-Fine_values!F15)/ABS(Fine_values!F15),"")</f>
        <v>0.0175566821936845</v>
      </c>
      <c r="G15" s="9" t="n">
        <f aca="false">IFERROR((Fine_values!H15-Fine_values!G15)/ABS(Fine_values!G15),"")</f>
        <v>0.0158930883781158</v>
      </c>
      <c r="H15" s="9" t="n">
        <f aca="false">IFERROR((Fine_values!I15-Fine_values!H15)/ABS(Fine_values!H15),"")</f>
        <v>0.0143747697148946</v>
      </c>
    </row>
    <row r="16" customFormat="false" ht="15" hidden="false" customHeight="false" outlineLevel="0" collapsed="false">
      <c r="A16" s="2" t="str">
        <f aca="false">Fine_values!A16</f>
        <v>Exit mass-averaged Mach [-]</v>
      </c>
      <c r="B16" s="9" t="n">
        <f aca="false">IFERROR((Fine_values!C16-Fine_values!B16)/ABS(Fine_values!B16),"")</f>
        <v>-0.00224863475746872</v>
      </c>
      <c r="C16" s="9" t="n">
        <f aca="false">IFERROR((Fine_values!D16-Fine_values!C16)/ABS(Fine_values!C16),"")</f>
        <v>0.00321957501609795</v>
      </c>
      <c r="D16" s="9" t="n">
        <f aca="false">IFERROR((Fine_values!E16-Fine_values!D16)/ABS(Fine_values!D16),"")</f>
        <v>0.00577663671373549</v>
      </c>
      <c r="E16" s="9" t="n">
        <f aca="false">IFERROR((Fine_values!F16-Fine_values!E16)/ABS(Fine_values!E16),"")</f>
        <v>-0.000957243139757535</v>
      </c>
      <c r="F16" s="9" t="n">
        <f aca="false">IFERROR((Fine_values!G16-Fine_values!F16)/ABS(Fine_values!F16),"")</f>
        <v>0.000319386777387523</v>
      </c>
      <c r="G16" s="9" t="n">
        <f aca="false">IFERROR((Fine_values!H16-Fine_values!G16)/ABS(Fine_values!G16),"")</f>
        <v>-0.000319284802043529</v>
      </c>
      <c r="H16" s="9" t="n">
        <f aca="false">IFERROR((Fine_values!I16-Fine_values!H16)/ABS(Fine_values!H16),"")</f>
        <v>0.00127754710954967</v>
      </c>
    </row>
    <row r="17" customFormat="false" ht="15" hidden="false" customHeight="false" outlineLevel="0" collapsed="false">
      <c r="A17" s="2" t="str">
        <f aca="false">Fine_values!A17</f>
        <v>Throat-axis Mach [-]</v>
      </c>
      <c r="B17" s="9" t="n">
        <f aca="false">IFERROR((Fine_values!C17-Fine_values!B17)/ABS(Fine_values!B17),"")</f>
        <v>-0.00106105324779867</v>
      </c>
      <c r="C17" s="9" t="n">
        <f aca="false">IFERROR((Fine_values!D17-Fine_values!C17)/ABS(Fine_values!C17),"")</f>
        <v>-0.000879045747005681</v>
      </c>
      <c r="D17" s="9" t="n">
        <f aca="false">IFERROR((Fine_values!E17-Fine_values!D17)/ABS(Fine_values!D17),"")</f>
        <v>-0.000720962913178933</v>
      </c>
      <c r="E17" s="9" t="n">
        <f aca="false">IFERROR((Fine_values!F17-Fine_values!E17)/ABS(Fine_values!E17),"")</f>
        <v>-0.000611426335355185</v>
      </c>
      <c r="F17" s="9" t="n">
        <f aca="false">IFERROR((Fine_values!G17-Fine_values!F17)/ABS(Fine_values!F17),"")</f>
        <v>-0.000526148349362555</v>
      </c>
      <c r="G17" s="9" t="n">
        <f aca="false">IFERROR((Fine_values!H17-Fine_values!G17)/ABS(Fine_values!G17),"")</f>
        <v>-0.000452970630363701</v>
      </c>
      <c r="H17" s="9" t="n">
        <f aca="false">IFERROR((Fine_values!I17-Fine_values!H17)/ABS(Fine_values!H17),"")</f>
        <v>-0.000416431913382171</v>
      </c>
    </row>
    <row r="18" customFormat="false" ht="15" hidden="false" customHeight="false" outlineLevel="0" collapsed="false">
      <c r="A18" s="2" t="str">
        <f aca="false">Fine_values!A18</f>
        <v>Plume 1st cell: x of axis Mach peak [m]</v>
      </c>
      <c r="B18" s="9" t="n">
        <f aca="false">IFERROR((Fine_values!C18-Fine_values!B18)/ABS(Fine_values!B18),"")</f>
        <v>0.0207532880153687</v>
      </c>
      <c r="C18" s="9" t="n">
        <f aca="false">IFERROR((Fine_values!D18-Fine_values!C18)/ABS(Fine_values!C18),"")</f>
        <v>0.0282793003917879</v>
      </c>
      <c r="D18" s="9" t="n">
        <f aca="false">IFERROR((Fine_values!E18-Fine_values!D18)/ABS(Fine_values!D18),"")</f>
        <v>0.0220512405362693</v>
      </c>
      <c r="E18" s="9" t="n">
        <f aca="false">IFERROR((Fine_values!F18-Fine_values!E18)/ABS(Fine_values!E18),"")</f>
        <v>0.0103641485522219</v>
      </c>
      <c r="F18" s="9" t="n">
        <f aca="false">IFERROR((Fine_values!G18-Fine_values!F18)/ABS(Fine_values!F18),"")</f>
        <v>0.0163351631215586</v>
      </c>
      <c r="G18" s="9" t="n">
        <f aca="false">IFERROR((Fine_values!H18-Fine_values!G18)/ABS(Fine_values!G18),"")</f>
        <v>0.0152543111832529</v>
      </c>
      <c r="H18" s="9" t="n">
        <f aca="false">IFERROR((Fine_values!I18-Fine_values!H18)/ABS(Fine_values!H18),"")</f>
        <v>0.0133305145073193</v>
      </c>
    </row>
    <row r="19" customFormat="false" ht="15" hidden="false" customHeight="false" outlineLevel="0" collapsed="false">
      <c r="A19" s="2" t="str">
        <f aca="false">Fine_values!A19</f>
        <v>Plume 1st cell: peak axis Mach [-]</v>
      </c>
      <c r="B19" s="9" t="n">
        <f aca="false">IFERROR((Fine_values!C19-Fine_values!B19)/ABS(Fine_values!B19),"")</f>
        <v>0.0115243041480421</v>
      </c>
      <c r="C19" s="9" t="n">
        <f aca="false">IFERROR((Fine_values!D19-Fine_values!C19)/ABS(Fine_values!C19),"")</f>
        <v>0.010543104352527</v>
      </c>
      <c r="D19" s="9" t="n">
        <f aca="false">IFERROR((Fine_values!E19-Fine_values!D19)/ABS(Fine_values!D19),"")</f>
        <v>0.00900121630864962</v>
      </c>
      <c r="E19" s="9" t="n">
        <f aca="false">IFERROR((Fine_values!F19-Fine_values!E19)/ABS(Fine_values!E19),"")</f>
        <v>0.00821399650232512</v>
      </c>
      <c r="F19" s="9" t="n">
        <f aca="false">IFERROR((Fine_values!G19-Fine_values!F19)/ABS(Fine_values!F19),"")</f>
        <v>0.00723661318131039</v>
      </c>
      <c r="G19" s="9" t="n">
        <f aca="false">IFERROR((Fine_values!H19-Fine_values!G19)/ABS(Fine_values!G19),"")</f>
        <v>0.0063897929551235</v>
      </c>
      <c r="H19" s="9" t="n">
        <f aca="false">IFERROR((Fine_values!I19-Fine_values!H19)/ABS(Fine_values!H19),"")</f>
        <v>0.00729128220746469</v>
      </c>
    </row>
    <row r="20" customFormat="false" ht="15" hidden="false" customHeight="false" outlineLevel="0" collapsed="false">
      <c r="A20" s="2" t="str">
        <f aca="false">Fine_values!A20</f>
        <v>Plume 1st cell: axis pressure at peak [Pa]</v>
      </c>
      <c r="B20" s="9" t="n">
        <f aca="false">IFERROR((Fine_values!C20-Fine_values!B20)/ABS(Fine_values!B20),"")</f>
        <v>-0.0582087244616234</v>
      </c>
      <c r="C20" s="9" t="n">
        <f aca="false">IFERROR((Fine_values!D20-Fine_values!C20)/ABS(Fine_values!C20),"")</f>
        <v>-0.0544048255612153</v>
      </c>
      <c r="D20" s="9" t="n">
        <f aca="false">IFERROR((Fine_values!E20-Fine_values!D20)/ABS(Fine_values!D20),"")</f>
        <v>-0.0468454704636432</v>
      </c>
      <c r="E20" s="9" t="n">
        <f aca="false">IFERROR((Fine_values!F20-Fine_values!E20)/ABS(Fine_values!E20),"")</f>
        <v>-0.0432983789128568</v>
      </c>
      <c r="F20" s="9" t="n">
        <f aca="false">IFERROR((Fine_values!G20-Fine_values!F20)/ABS(Fine_values!F20),"")</f>
        <v>-0.0384964778197841</v>
      </c>
      <c r="G20" s="9" t="n">
        <f aca="false">IFERROR((Fine_values!H20-Fine_values!G20)/ABS(Fine_values!G20),"")</f>
        <v>-0.0342502178119235</v>
      </c>
      <c r="H20" s="9" t="n">
        <f aca="false">IFERROR((Fine_values!I20-Fine_values!H20)/ABS(Fine_values!H20),"")</f>
        <v>-0.03978817133752</v>
      </c>
    </row>
    <row r="21" customFormat="false" ht="15" hidden="false" customHeight="false" outlineLevel="0" collapsed="false">
      <c r="A21" s="2" t="str">
        <f aca="false">Fine_values!A21</f>
        <v>Plume 1st cell: axis temperature at peak [K]</v>
      </c>
      <c r="B21" s="9" t="n">
        <f aca="false">IFERROR((Fine_values!C21-Fine_values!B21)/ABS(Fine_values!B21),"")</f>
        <v>-0.0163312489818423</v>
      </c>
      <c r="C21" s="9" t="n">
        <f aca="false">IFERROR((Fine_values!D21-Fine_values!C21)/ABS(Fine_values!C21),"")</f>
        <v>-0.015114021314836</v>
      </c>
      <c r="D21" s="9" t="n">
        <f aca="false">IFERROR((Fine_values!E21-Fine_values!D21)/ABS(Fine_values!D21),"")</f>
        <v>-0.0129821414712806</v>
      </c>
      <c r="E21" s="9" t="n">
        <f aca="false">IFERROR((Fine_values!F21-Fine_values!E21)/ABS(Fine_values!E21),"")</f>
        <v>-0.0119505248489667</v>
      </c>
      <c r="F21" s="9" t="n">
        <f aca="false">IFERROR((Fine_values!G21-Fine_values!F21)/ABS(Fine_values!F21),"")</f>
        <v>-0.0105863615212617</v>
      </c>
      <c r="G21" s="9" t="n">
        <f aca="false">IFERROR((Fine_values!H21-Fine_values!G21)/ABS(Fine_values!G21),"")</f>
        <v>-0.00939597015542288</v>
      </c>
      <c r="H21" s="9" t="n">
        <f aca="false">IFERROR((Fine_values!I21-Fine_values!H21)/ABS(Fine_values!H21),"")</f>
        <v>-0.0108123956876719</v>
      </c>
    </row>
    <row r="22" customFormat="false" ht="15" hidden="false" customHeight="false" outlineLevel="0" collapsed="false">
      <c r="A22" s="2" t="str">
        <f aca="false">Fine_values!A22</f>
        <v>Plume 1st cell: axis density at peak [kg/m3]</v>
      </c>
      <c r="B22" s="9" t="n">
        <f aca="false">IFERROR((Fine_values!C22-Fine_values!B22)/ABS(Fine_values!B22),"")</f>
        <v>-0.0425709667900802</v>
      </c>
      <c r="C22" s="9" t="n">
        <f aca="false">IFERROR((Fine_values!D22-Fine_values!C22)/ABS(Fine_values!C22),"")</f>
        <v>-0.0398941735862648</v>
      </c>
      <c r="D22" s="9" t="n">
        <f aca="false">IFERROR((Fine_values!E22-Fine_values!D22)/ABS(Fine_values!D22),"")</f>
        <v>-0.0343088429946395</v>
      </c>
      <c r="E22" s="9" t="n">
        <f aca="false">IFERROR((Fine_values!F22-Fine_values!E22)/ABS(Fine_values!E22),"")</f>
        <v>-0.0317303983125273</v>
      </c>
      <c r="F22" s="9" t="n">
        <f aca="false">IFERROR((Fine_values!G22-Fine_values!F22)/ABS(Fine_values!F22),"")</f>
        <v>-0.0282041936149231</v>
      </c>
      <c r="G22" s="9" t="n">
        <f aca="false">IFERROR((Fine_values!H22-Fine_values!G22)/ABS(Fine_values!G22),"")</f>
        <v>-0.0250932583583621</v>
      </c>
      <c r="H22" s="9" t="n">
        <f aca="false">IFERROR((Fine_values!I22-Fine_values!H22)/ABS(Fine_values!H22),"")</f>
        <v>-0.0292896200938544</v>
      </c>
    </row>
    <row r="23" customFormat="false" ht="15" hidden="false" customHeight="false" outlineLevel="0" collapsed="false">
      <c r="A23" s="2" t="str">
        <f aca="false">Fine_values!A23</f>
        <v>Plume 1st cell: axis velocity at peak [m/s]</v>
      </c>
      <c r="B23" s="9" t="n">
        <f aca="false">IFERROR((Fine_values!C23-Fine_values!B23)/ABS(Fine_values!B23),"")</f>
        <v>0.00368806911880692</v>
      </c>
      <c r="C23" s="9" t="n">
        <f aca="false">IFERROR((Fine_values!D23-Fine_values!C23)/ABS(Fine_values!C23),"")</f>
        <v>0.00330840495591019</v>
      </c>
      <c r="D23" s="9" t="n">
        <f aca="false">IFERROR((Fine_values!E23-Fine_values!D23)/ABS(Fine_values!D23),"")</f>
        <v>0.00280353868883399</v>
      </c>
      <c r="E23" s="9" t="n">
        <f aca="false">IFERROR((Fine_values!F23-Fine_values!E23)/ABS(Fine_values!E23),"")</f>
        <v>0.00251169312967608</v>
      </c>
      <c r="F23" s="9" t="n">
        <f aca="false">IFERROR((Fine_values!G23-Fine_values!F23)/ABS(Fine_values!F23),"")</f>
        <v>0.00219554516803005</v>
      </c>
      <c r="G23" s="9" t="n">
        <f aca="false">IFERROR((Fine_values!H23-Fine_values!G23)/ABS(Fine_values!G23),"")</f>
        <v>0.00192131020105293</v>
      </c>
      <c r="H23" s="9" t="n">
        <f aca="false">IFERROR((Fine_values!I23-Fine_values!H23)/ABS(Fine_values!H23),"")</f>
        <v>0.00214685928152967</v>
      </c>
    </row>
    <row r="24" customFormat="false" ht="15" hidden="false" customHeight="false" outlineLevel="0" collapsed="false">
      <c r="A24" s="2" t="str">
        <f aca="false">Fine_values!A24</f>
        <v>Plume 1st cell: end (closing shock) x [m]</v>
      </c>
      <c r="B24" s="9" t="n">
        <f aca="false">IFERROR((Fine_values!C24-Fine_values!B24)/ABS(Fine_values!B24),"")</f>
        <v>0.0056957031156596</v>
      </c>
      <c r="C24" s="9" t="n">
        <f aca="false">IFERROR((Fine_values!D24-Fine_values!C24)/ABS(Fine_values!C24),"")</f>
        <v>0.00467594882134383</v>
      </c>
      <c r="D24" s="9" t="n">
        <f aca="false">IFERROR((Fine_values!E24-Fine_values!D24)/ABS(Fine_values!D24),"")</f>
        <v>0.00217247940325447</v>
      </c>
      <c r="E24" s="9" t="n">
        <f aca="false">IFERROR((Fine_values!F24-Fine_values!E24)/ABS(Fine_values!E24),"")</f>
        <v>0.0125957353022205</v>
      </c>
      <c r="F24" s="9" t="n">
        <f aca="false">IFERROR((Fine_values!G24-Fine_values!F24)/ABS(Fine_values!F24),"")</f>
        <v>0.000772679784084995</v>
      </c>
      <c r="G24" s="9" t="n">
        <f aca="false">IFERROR((Fine_values!H24-Fine_values!G24)/ABS(Fine_values!G24),"")</f>
        <v>0.00209254745515468</v>
      </c>
      <c r="H24" s="9" t="n">
        <f aca="false">IFERROR((Fine_values!I24-Fine_values!H24)/ABS(Fine_values!H24),"")</f>
        <v>0.0167023222645956</v>
      </c>
    </row>
    <row r="25" customFormat="false" ht="15" hidden="false" customHeight="false" outlineLevel="0" collapsed="false">
      <c r="A25" s="2" t="str">
        <f aca="false">Fine_values!A25</f>
        <v>Plume 1st cell: length from lip [m]</v>
      </c>
      <c r="B25" s="9" t="n">
        <f aca="false">IFERROR((Fine_values!C25-Fine_values!B25)/ABS(Fine_values!B25),"")</f>
        <v>0.010916090005041</v>
      </c>
      <c r="C25" s="9" t="n">
        <f aca="false">IFERROR((Fine_values!D25-Fine_values!C25)/ABS(Fine_values!C25),"")</f>
        <v>0.00891540339933757</v>
      </c>
      <c r="D25" s="9" t="n">
        <f aca="false">IFERROR((Fine_values!E25-Fine_values!D25)/ABS(Fine_values!D25),"")</f>
        <v>0.00412475512074721</v>
      </c>
      <c r="E25" s="9" t="n">
        <f aca="false">IFERROR((Fine_values!F25-Fine_values!E25)/ABS(Fine_values!E25),"")</f>
        <v>0.0238682636516863</v>
      </c>
      <c r="F25" s="9" t="n">
        <f aca="false">IFERROR((Fine_values!G25-Fine_values!F25)/ABS(Fine_values!F25),"")</f>
        <v>0.00144806768915193</v>
      </c>
      <c r="G25" s="9" t="n">
        <f aca="false">IFERROR((Fine_values!H25-Fine_values!G25)/ABS(Fine_values!G25),"")</f>
        <v>0.00391896727793255</v>
      </c>
      <c r="H25" s="9" t="n">
        <f aca="false">IFERROR((Fine_values!I25-Fine_values!H25)/ABS(Fine_values!H25),"")</f>
        <v>0.0312235553237117</v>
      </c>
    </row>
    <row r="26" customFormat="false" ht="15" hidden="false" customHeight="false" outlineLevel="0" collapsed="false">
      <c r="A26" s="2" t="str">
        <f aca="false">Fine_values!A26</f>
        <v>Plume 1st cell: axis Mach behind closing shock [-]</v>
      </c>
      <c r="B26" s="9" t="n">
        <f aca="false">IFERROR((Fine_values!C26-Fine_values!B26)/ABS(Fine_values!B26),"")</f>
        <v>-0.0269810816718072</v>
      </c>
      <c r="C26" s="9" t="n">
        <f aca="false">IFERROR((Fine_values!D26-Fine_values!C26)/ABS(Fine_values!C26),"")</f>
        <v>-0.0246792791893376</v>
      </c>
      <c r="D26" s="9" t="n">
        <f aca="false">IFERROR((Fine_values!E26-Fine_values!D26)/ABS(Fine_values!D26),"")</f>
        <v>-0.0166490946127153</v>
      </c>
      <c r="E26" s="9" t="n">
        <f aca="false">IFERROR((Fine_values!F26-Fine_values!E26)/ABS(Fine_values!E26),"")</f>
        <v>-0.0494084826656535</v>
      </c>
      <c r="F26" s="9" t="n">
        <f aca="false">IFERROR((Fine_values!G26-Fine_values!F26)/ABS(Fine_values!F26),"")</f>
        <v>0.00367389399912396</v>
      </c>
      <c r="G26" s="9" t="n">
        <f aca="false">IFERROR((Fine_values!H26-Fine_values!G26)/ABS(Fine_values!G26),"")</f>
        <v>-0.0810207788948835</v>
      </c>
      <c r="H26" s="9" t="n">
        <f aca="false">IFERROR((Fine_values!I26-Fine_values!H26)/ABS(Fine_values!H26),"")</f>
        <v>0.0229432680949074</v>
      </c>
    </row>
    <row r="27" customFormat="false" ht="15" hidden="false" customHeight="false" outlineLevel="0" collapsed="false">
      <c r="A27" s="2" t="str">
        <f aca="false">Fine_values!A27</f>
        <v>Plume 1st cell: axis pressure behind closing shock [Pa]</v>
      </c>
      <c r="B27" s="9" t="n">
        <f aca="false">IFERROR((Fine_values!C27-Fine_values!B27)/ABS(Fine_values!B27),"")</f>
        <v>0.0665697747987144</v>
      </c>
      <c r="C27" s="9" t="n">
        <f aca="false">IFERROR((Fine_values!D27-Fine_values!C27)/ABS(Fine_values!C27),"")</f>
        <v>0.0481644690010508</v>
      </c>
      <c r="D27" s="9" t="n">
        <f aca="false">IFERROR((Fine_values!E27-Fine_values!D27)/ABS(Fine_values!D27),"")</f>
        <v>0.120202833590433</v>
      </c>
      <c r="E27" s="9" t="n">
        <f aca="false">IFERROR((Fine_values!F27-Fine_values!E27)/ABS(Fine_values!E27),"")</f>
        <v>0.0144808711618185</v>
      </c>
      <c r="F27" s="9" t="n">
        <f aca="false">IFERROR((Fine_values!G27-Fine_values!F27)/ABS(Fine_values!F27),"")</f>
        <v>0.124349751283423</v>
      </c>
      <c r="G27" s="9" t="n">
        <f aca="false">IFERROR((Fine_values!H27-Fine_values!G27)/ABS(Fine_values!G27),"")</f>
        <v>0.176020814930866</v>
      </c>
      <c r="H27" s="9" t="n">
        <f aca="false">IFERROR((Fine_values!I27-Fine_values!H27)/ABS(Fine_values!H27),"")</f>
        <v>-0.227923563479373</v>
      </c>
    </row>
    <row r="28" customFormat="false" ht="15" hidden="false" customHeight="false" outlineLevel="0" collapsed="false">
      <c r="A28" s="2" t="str">
        <f aca="false">Fine_values!A28</f>
        <v>Plume 1st cell: axis temperature behind closing shock [K]</v>
      </c>
      <c r="B28" s="9" t="n">
        <f aca="false">IFERROR((Fine_values!C28-Fine_values!B28)/ABS(Fine_values!B28),"")</f>
        <v>0.0202464072392298</v>
      </c>
      <c r="C28" s="9" t="n">
        <f aca="false">IFERROR((Fine_values!D28-Fine_values!C28)/ABS(Fine_values!C28),"")</f>
        <v>0.0165584570963677</v>
      </c>
      <c r="D28" s="9" t="n">
        <f aca="false">IFERROR((Fine_values!E28-Fine_values!D28)/ABS(Fine_values!D28),"")</f>
        <v>0.0302968484372957</v>
      </c>
      <c r="E28" s="9" t="n">
        <f aca="false">IFERROR((Fine_values!F28-Fine_values!E28)/ABS(Fine_values!E28),"")</f>
        <v>0.0138601897779831</v>
      </c>
      <c r="F28" s="9" t="n">
        <f aca="false">IFERROR((Fine_values!G28-Fine_values!F28)/ABS(Fine_values!F28),"")</f>
        <v>0.0286133492240745</v>
      </c>
      <c r="G28" s="9" t="n">
        <f aca="false">IFERROR((Fine_values!H28-Fine_values!G28)/ABS(Fine_values!G28),"")</f>
        <v>0.0546173281859297</v>
      </c>
      <c r="H28" s="9" t="n">
        <f aca="false">IFERROR((Fine_values!I28-Fine_values!H28)/ABS(Fine_values!H28),"")</f>
        <v>-0.0572127590823064</v>
      </c>
    </row>
    <row r="29" customFormat="false" ht="15" hidden="false" customHeight="false" outlineLevel="0" collapsed="false">
      <c r="A29" s="2" t="str">
        <f aca="false">Fine_values!A29</f>
        <v>Plume 1st cell: axis density behind closing shock [kg/m3]</v>
      </c>
      <c r="B29" s="9" t="n">
        <f aca="false">IFERROR((Fine_values!C29-Fine_values!B29)/ABS(Fine_values!B29),"")</f>
        <v>0.0457327982946119</v>
      </c>
      <c r="C29" s="9" t="n">
        <f aca="false">IFERROR((Fine_values!D29-Fine_values!C29)/ABS(Fine_values!C29),"")</f>
        <v>0.0309271370485179</v>
      </c>
      <c r="D29" s="9" t="n">
        <f aca="false">IFERROR((Fine_values!E29-Fine_values!D29)/ABS(Fine_values!D29),"")</f>
        <v>0.087434923914452</v>
      </c>
      <c r="E29" s="9" t="n">
        <f aca="false">IFERROR((Fine_values!F29-Fine_values!E29)/ABS(Fine_values!E29),"")</f>
        <v>-0.00146252762642867</v>
      </c>
      <c r="F29" s="9" t="n">
        <f aca="false">IFERROR((Fine_values!G29-Fine_values!F29)/ABS(Fine_values!F29),"")</f>
        <v>0.0951675706425258</v>
      </c>
      <c r="G29" s="9" t="n">
        <f aca="false">IFERROR((Fine_values!H29-Fine_values!G29)/ABS(Fine_values!G29),"")</f>
        <v>0.110806615320318</v>
      </c>
      <c r="H29" s="9" t="n">
        <f aca="false">IFERROR((Fine_values!I29-Fine_values!H29)/ABS(Fine_values!H29),"")</f>
        <v>-0.182490902934173</v>
      </c>
    </row>
    <row r="30" customFormat="false" ht="15" hidden="false" customHeight="false" outlineLevel="0" collapsed="false">
      <c r="A30" s="2" t="str">
        <f aca="false">Fine_values!A30</f>
        <v>Plume 1st cell: pressure ratio across closing shock [-]</v>
      </c>
      <c r="B30" s="9" t="n">
        <f aca="false">IFERROR((Fine_values!C30-Fine_values!B30)/ABS(Fine_values!B30),"")</f>
        <v>0.132490608589476</v>
      </c>
      <c r="C30" s="9" t="n">
        <f aca="false">IFERROR((Fine_values!D30-Fine_values!C30)/ABS(Fine_values!C30),"")</f>
        <v>0.108470619705881</v>
      </c>
      <c r="D30" s="9" t="n">
        <f aca="false">IFERROR((Fine_values!E30-Fine_values!D30)/ABS(Fine_values!D30),"")</f>
        <v>0.175258364596277</v>
      </c>
      <c r="E30" s="9" t="n">
        <f aca="false">IFERROR((Fine_values!F30-Fine_values!E30)/ABS(Fine_values!E30),"")</f>
        <v>0.0603942219822081</v>
      </c>
      <c r="F30" s="9" t="n">
        <f aca="false">IFERROR((Fine_values!G30-Fine_values!F30)/ABS(Fine_values!F30),"")</f>
        <v>0.169366232516707</v>
      </c>
      <c r="G30" s="9" t="n">
        <f aca="false">IFERROR((Fine_values!H30-Fine_values!G30)/ABS(Fine_values!G30),"")</f>
        <v>0.217728273535183</v>
      </c>
      <c r="H30" s="9" t="n">
        <f aca="false">IFERROR((Fine_values!I30-Fine_values!H30)/ABS(Fine_values!H30),"")</f>
        <v>-0.195931133658199</v>
      </c>
    </row>
    <row r="31" customFormat="false" ht="15" hidden="false" customHeight="false" outlineLevel="0" collapsed="false">
      <c r="A31" s="2" t="str">
        <f aca="false">Fine_values!A31</f>
        <v>Final relative residual [-]</v>
      </c>
      <c r="B31" s="9" t="n">
        <f aca="false">IFERROR((Fine_values!C31-Fine_values!B31)/ABS(Fine_values!B31),"")</f>
        <v>0.777510040160643</v>
      </c>
      <c r="C31" s="9" t="n">
        <f aca="false">IFERROR((Fine_values!D31-Fine_values!C31)/ABS(Fine_values!C31),"")</f>
        <v>0.0994125621328514</v>
      </c>
      <c r="D31" s="9" t="n">
        <f aca="false">IFERROR((Fine_values!E31-Fine_values!D31)/ABS(Fine_values!D31),"")</f>
        <v>-0.0509658857377724</v>
      </c>
      <c r="E31" s="9" t="n">
        <f aca="false">IFERROR((Fine_values!F31-Fine_values!E31)/ABS(Fine_values!E31),"")</f>
        <v>0.328713728886964</v>
      </c>
      <c r="F31" s="9" t="n">
        <f aca="false">IFERROR((Fine_values!G31-Fine_values!F31)/ABS(Fine_values!F31),"")</f>
        <v>-0.21251629726206</v>
      </c>
      <c r="G31" s="9" t="n">
        <f aca="false">IFERROR((Fine_values!H31-Fine_values!G31)/ABS(Fine_values!G31),"")</f>
        <v>0.308360927152318</v>
      </c>
      <c r="H31" s="9" t="n">
        <f aca="false">IFERROR((Fine_values!I31-Fine_values!H31)/ABS(Fine_values!H31),"")</f>
        <v>0.133502056311294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85</v>
      </c>
    </row>
    <row r="3" customFormat="false" ht="15" hidden="false" customHeight="false" outlineLevel="0" collapsed="false">
      <c r="A3" s="4" t="s">
        <v>54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">
        <v>55</v>
      </c>
      <c r="B4" s="10" t="n">
        <v>0.0901</v>
      </c>
      <c r="C4" s="10" t="n">
        <v>0.0777</v>
      </c>
      <c r="D4" s="10" t="n">
        <v>0.0676</v>
      </c>
      <c r="E4" s="10" t="n">
        <v>0.0547</v>
      </c>
      <c r="F4" s="10" t="n">
        <v>0.0503</v>
      </c>
      <c r="G4" s="10" t="n">
        <v>0.0457</v>
      </c>
      <c r="H4" s="10" t="n">
        <v>0.0415</v>
      </c>
    </row>
    <row r="5" customFormat="false" ht="15" hidden="false" customHeight="false" outlineLevel="0" collapsed="false">
      <c r="A5" s="2" t="s">
        <v>56</v>
      </c>
      <c r="B5" s="10" t="n">
        <v>0.1087</v>
      </c>
      <c r="C5" s="10" t="n">
        <v>0.0914</v>
      </c>
      <c r="D5" s="10" t="n">
        <v>0.0779</v>
      </c>
      <c r="E5" s="10" t="n">
        <v>0.0671</v>
      </c>
      <c r="F5" s="10" t="n">
        <v>0.0587</v>
      </c>
      <c r="G5" s="10" t="n">
        <v>0.0517</v>
      </c>
      <c r="H5" s="10" t="n">
        <v>0.046</v>
      </c>
    </row>
    <row r="6" customFormat="false" ht="15" hidden="false" customHeight="false" outlineLevel="0" collapsed="false">
      <c r="A6" s="2" t="s">
        <v>57</v>
      </c>
      <c r="B6" s="10" t="n">
        <v>0.1059</v>
      </c>
      <c r="C6" s="10" t="n">
        <v>0.0906</v>
      </c>
      <c r="D6" s="10" t="n">
        <v>0.0786</v>
      </c>
      <c r="E6" s="10" t="n">
        <v>0.0658</v>
      </c>
      <c r="F6" s="10" t="n">
        <v>0.0596</v>
      </c>
      <c r="G6" s="10" t="n">
        <v>0.0533</v>
      </c>
      <c r="H6" s="10" t="n">
        <v>0.048</v>
      </c>
    </row>
    <row r="7" customFormat="false" ht="15" hidden="false" customHeight="false" outlineLevel="0" collapsed="false">
      <c r="A7" s="2" t="s">
        <v>58</v>
      </c>
      <c r="B7" s="10" t="n">
        <v>0.1196</v>
      </c>
      <c r="C7" s="10" t="n">
        <v>0.1006</v>
      </c>
      <c r="D7" s="10" t="n">
        <v>0.0857</v>
      </c>
      <c r="E7" s="10" t="n">
        <v>0.0738</v>
      </c>
      <c r="F7" s="10" t="n">
        <v>0.0646</v>
      </c>
      <c r="G7" s="10" t="n">
        <v>0.0571</v>
      </c>
      <c r="H7" s="10" t="n">
        <v>0.0509</v>
      </c>
    </row>
    <row r="8" customFormat="false" ht="15" hidden="false" customHeight="false" outlineLevel="0" collapsed="false">
      <c r="A8" s="2" t="s">
        <v>59</v>
      </c>
      <c r="B8" s="10" t="n">
        <v>0.076</v>
      </c>
      <c r="C8" s="10" t="n">
        <v>0.0649</v>
      </c>
      <c r="D8" s="10" t="n">
        <v>0.0559</v>
      </c>
      <c r="E8" s="10" t="n">
        <v>0.0464</v>
      </c>
      <c r="F8" s="10" t="n">
        <v>0.0416</v>
      </c>
      <c r="G8" s="10" t="n">
        <v>0.0375</v>
      </c>
      <c r="H8" s="10" t="n">
        <v>0.0337</v>
      </c>
    </row>
    <row r="9" customFormat="false" ht="15" hidden="false" customHeight="false" outlineLevel="0" collapsed="false">
      <c r="A9" s="2" t="s">
        <v>60</v>
      </c>
      <c r="B9" s="10" t="n">
        <v>0.6677</v>
      </c>
      <c r="C9" s="10" t="n">
        <v>0.6293</v>
      </c>
      <c r="D9" s="10" t="n">
        <v>1.1094</v>
      </c>
      <c r="E9" s="10" t="n">
        <v>1.0017</v>
      </c>
      <c r="F9" s="10" t="n">
        <v>1.4046</v>
      </c>
      <c r="G9" s="10" t="n">
        <v>0.519</v>
      </c>
      <c r="H9" s="10" t="n">
        <v>2.0685</v>
      </c>
    </row>
    <row r="10" customFormat="false" ht="15" hidden="false" customHeight="false" outlineLevel="0" collapsed="false">
      <c r="A10" s="2" t="s">
        <v>61</v>
      </c>
      <c r="B10" s="10" t="n">
        <v>0.5431</v>
      </c>
      <c r="C10" s="10" t="n">
        <v>0.6859</v>
      </c>
      <c r="D10" s="10" t="n">
        <v>1.524</v>
      </c>
      <c r="E10" s="10" t="n">
        <v>1.5978</v>
      </c>
      <c r="F10" s="10" t="n">
        <v>2.1299</v>
      </c>
      <c r="G10" s="10" t="n">
        <v>0.3909</v>
      </c>
      <c r="H10" s="10" t="n">
        <v>3.4501</v>
      </c>
    </row>
    <row r="11" customFormat="false" ht="15" hidden="false" customHeight="false" outlineLevel="0" collapsed="false">
      <c r="A11" s="2" t="s">
        <v>62</v>
      </c>
      <c r="B11" s="10" t="n">
        <v>0.6422</v>
      </c>
      <c r="C11" s="10" t="n">
        <v>0.6212</v>
      </c>
      <c r="D11" s="10" t="n">
        <v>0.9386</v>
      </c>
      <c r="E11" s="10" t="n">
        <v>1.085</v>
      </c>
      <c r="F11" s="10" t="n">
        <v>1.4302</v>
      </c>
      <c r="G11" s="10" t="n">
        <v>0.52</v>
      </c>
      <c r="H11" s="10" t="n">
        <v>1.9876</v>
      </c>
    </row>
    <row r="12" customFormat="false" ht="15" hidden="false" customHeight="false" outlineLevel="0" collapsed="false">
      <c r="A12" s="2" t="s">
        <v>63</v>
      </c>
      <c r="B12" s="10" t="n">
        <v>0.5206</v>
      </c>
      <c r="C12" s="10" t="n">
        <v>0.5379</v>
      </c>
      <c r="D12" s="10" t="n">
        <v>2.1379</v>
      </c>
      <c r="E12" s="10" t="n">
        <v>2.3287</v>
      </c>
      <c r="F12" s="10" t="n">
        <v>3.7708</v>
      </c>
      <c r="G12" s="10" t="n">
        <v>0.752</v>
      </c>
      <c r="H12" s="10" t="n">
        <v>5.0309</v>
      </c>
    </row>
    <row r="13" customFormat="false" ht="15" hidden="false" customHeight="false" outlineLevel="0" collapsed="false">
      <c r="A13" s="2" t="s">
        <v>64</v>
      </c>
      <c r="B13" s="10" t="n">
        <v>0.5372</v>
      </c>
      <c r="C13" s="10" t="n">
        <v>0.5106</v>
      </c>
      <c r="D13" s="10" t="n">
        <v>0.8566</v>
      </c>
      <c r="E13" s="10" t="n">
        <v>0.8845</v>
      </c>
      <c r="F13" s="10" t="n">
        <v>1.2265</v>
      </c>
      <c r="G13" s="10" t="n">
        <v>0.3556</v>
      </c>
      <c r="H13" s="10" t="n">
        <v>1.8185</v>
      </c>
    </row>
    <row r="14" customFormat="false" ht="15" hidden="false" customHeight="false" outlineLevel="0" collapsed="false">
      <c r="A14" s="2" t="s">
        <v>65</v>
      </c>
      <c r="B14" s="10" t="n">
        <v>2.7628</v>
      </c>
      <c r="C14" s="10" t="n">
        <v>1.5837</v>
      </c>
      <c r="D14" s="10" t="n">
        <v>8.2927</v>
      </c>
      <c r="E14" s="10" t="n">
        <v>9.01</v>
      </c>
      <c r="F14" s="10" t="n">
        <v>10.5084</v>
      </c>
      <c r="G14" s="10" t="n">
        <v>4.1345</v>
      </c>
      <c r="H14" s="10" t="n">
        <v>10.1405</v>
      </c>
    </row>
    <row r="15" customFormat="false" ht="15" hidden="false" customHeight="false" outlineLevel="0" collapsed="false">
      <c r="A15" s="2" t="s">
        <v>66</v>
      </c>
      <c r="B15" s="10" t="n">
        <v>6.2045</v>
      </c>
      <c r="C15" s="10" t="n">
        <v>3.0665</v>
      </c>
      <c r="D15" s="10" t="n">
        <v>14.6676</v>
      </c>
      <c r="E15" s="10" t="n">
        <v>15.5276</v>
      </c>
      <c r="F15" s="10" t="n">
        <v>13.9689</v>
      </c>
      <c r="G15" s="10" t="n">
        <v>4.6576</v>
      </c>
      <c r="H15" s="10" t="n">
        <v>14.4136</v>
      </c>
    </row>
    <row r="16" customFormat="false" ht="15" hidden="false" customHeight="false" outlineLevel="0" collapsed="false">
      <c r="A16" s="2" t="s">
        <v>67</v>
      </c>
      <c r="B16" s="10" t="n">
        <v>3.5145</v>
      </c>
      <c r="C16" s="10" t="n">
        <v>1.8107</v>
      </c>
      <c r="D16" s="10" t="n">
        <v>10.565</v>
      </c>
      <c r="E16" s="10" t="n">
        <v>10.6005</v>
      </c>
      <c r="F16" s="10" t="n">
        <v>11.8607</v>
      </c>
      <c r="G16" s="10" t="n">
        <v>4.6688</v>
      </c>
      <c r="H16" s="10" t="n">
        <v>12.1703</v>
      </c>
    </row>
    <row r="17" customFormat="false" ht="15" hidden="false" customHeight="false" outlineLevel="0" collapsed="false">
      <c r="A17" s="2" t="s">
        <v>68</v>
      </c>
      <c r="B17" s="10" t="n">
        <v>8.5613</v>
      </c>
      <c r="C17" s="10" t="n">
        <v>3.2154</v>
      </c>
      <c r="D17" s="10" t="n">
        <v>14.733</v>
      </c>
      <c r="E17" s="10" t="n">
        <v>25.352</v>
      </c>
      <c r="F17" s="10" t="n">
        <v>14.9594</v>
      </c>
      <c r="G17" s="10" t="n">
        <v>7.2247</v>
      </c>
      <c r="H17" s="10" t="n">
        <v>23.5416</v>
      </c>
    </row>
    <row r="18" customFormat="false" ht="15" hidden="false" customHeight="false" outlineLevel="0" collapsed="false">
      <c r="A18" s="2" t="s">
        <v>69</v>
      </c>
      <c r="B18" s="10" t="n">
        <v>2.808</v>
      </c>
      <c r="C18" s="10" t="n">
        <v>1.5556</v>
      </c>
      <c r="D18" s="10" t="n">
        <v>8.4503</v>
      </c>
      <c r="E18" s="10" t="n">
        <v>9.7578</v>
      </c>
      <c r="F18" s="10" t="n">
        <v>10.6743</v>
      </c>
      <c r="G18" s="10" t="n">
        <v>3.976</v>
      </c>
      <c r="H18" s="10" t="n">
        <v>10.7944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2026-10-08T14:29:37Z</dcterms:created>
  <dc:creator>openpyxl</dc:creator>
  <dc:description/>
  <dc:language>en-US</dc:language>
  <cp:lastModifiedBy/>
  <dcterms:modified xsi:type="dcterms:W3CDTF">2026-10-08T14:30:29Z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