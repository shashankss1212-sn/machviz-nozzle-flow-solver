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arse_values" sheetId="2" state="visible" r:id="rId4"/>
    <sheet name="Coarse_successive_%" sheetId="3" state="visible" r:id="rId5"/>
    <sheet name="Coarse_fields_successive" sheetId="4" state="visible" r:id="rId6"/>
    <sheet name="Fine_values" sheetId="5" state="visible" r:id="rId7"/>
    <sheet name="Fine_successive_%" sheetId="6" state="visible" r:id="rId8"/>
    <sheet name="Fine_fields_successiv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<sst xmlns="http://schemas.openxmlformats.org/spreadsheetml/2006/main" count="153" uniqueCount="86">
  <si>
    <t xml:space="preserve">Grid independence study - successive refinement (BELL profile, hybrid HLL/HLLC open-plume solver, order 1, 40,000 iterations)</t>
  </si>
  <si>
    <t xml:space="preserve">No fixed base mesh: every mesh is compared with the previous (next coarser) mesh in its own study.</t>
  </si>
  <si>
    <t xml:space="preserve">Coarse study: 105x28x77 -&gt; 195x52x143 (levels -30% ... +30% of 150x40x110).  Fine study: 180x45x139 -&gt; 320x80x246 (levels -10% ... +60% of 200x50x154).</t>
  </si>
  <si>
    <t xml:space="preserve">Sheets: *_values = raw values per mesh; *_successive_% = % change vs previous mesh (formulas); *_fields_successive = whole-field change vs previous mesh.</t>
  </si>
  <si>
    <t xml:space="preserve">Recommended grid-independence quantities: inlet mass flow and wall-pressure thrust (exit-plane values pick up the unsteady flow at the lip).</t>
  </si>
  <si>
    <t xml:space="preserve">Residual row: final relative residual, not a physical property; its % change is not meaningful.</t>
  </si>
  <si>
    <t xml:space="preserve">Plume 1st cell rows (axis values): peak = axis Mach maximum between x = 3 and 7.5 m; closing shock = steepest axial Mach drop after the peak (before x = 8.5 m);</t>
  </si>
  <si>
    <t xml:space="preserve">'behind closing shock' = minimum axis Mach (and the corresponding T, rho) and maximum axis pressure within 1.5 m downstream of that shock. Lip of the nozzle is at x = 3 m.</t>
  </si>
  <si>
    <t xml:space="preserve">Coarse mesh study (BELL profile, hybrid HLL/HLLC solver) - values per mesh</t>
  </si>
  <si>
    <t xml:space="preserve">Property</t>
  </si>
  <si>
    <t xml:space="preserve">-30%
105x28x77</t>
  </si>
  <si>
    <t xml:space="preserve">-20%
120x32x88</t>
  </si>
  <si>
    <t xml:space="preserve">-10%
135x36x99</t>
  </si>
  <si>
    <t xml:space="preserve">0%
150x40x110</t>
  </si>
  <si>
    <t xml:space="preserve">+10%
165x44x121</t>
  </si>
  <si>
    <t xml:space="preserve">+20%
180x48x132</t>
  </si>
  <si>
    <t xml:space="preserve">+30%
195x52x143</t>
  </si>
  <si>
    <t xml:space="preserve">Cells [-]</t>
  </si>
  <si>
    <t xml:space="preserve">Mass flow, inlet [kg/s]</t>
  </si>
  <si>
    <t xml:space="preserve">Mass flow, exit plane [kg/s]</t>
  </si>
  <si>
    <t xml:space="preserve">Thrust, wall-pressure method [N]</t>
  </si>
  <si>
    <t xml:space="preserve">Thrust, exit-plane method [N]</t>
  </si>
  <si>
    <t xml:space="preserve">Specific impulse Isp [s]</t>
  </si>
  <si>
    <t xml:space="preserve">Discharge coefficient Cd [-]</t>
  </si>
  <si>
    <t xml:space="preserve">Exit-axis Mach [-]</t>
  </si>
  <si>
    <t xml:space="preserve">Exit-axis temperature [K]</t>
  </si>
  <si>
    <t xml:space="preserve">Exit-axis pressure [Pa]</t>
  </si>
  <si>
    <t xml:space="preserve">Exit-axis velocity [m/s]</t>
  </si>
  <si>
    <t xml:space="preserve">Exit-axis density [kg/m3]</t>
  </si>
  <si>
    <t xml:space="preserve">Exit mass-averaged Mach [-]</t>
  </si>
  <si>
    <t xml:space="preserve">Throat-axis Mach [-]</t>
  </si>
  <si>
    <t xml:space="preserve">Plume 1st cell: x of axis Mach peak [m]</t>
  </si>
  <si>
    <t xml:space="preserve">Plume 1st cell: peak axis Mach [-]</t>
  </si>
  <si>
    <t xml:space="preserve">Plume 1st cell: axis pressure at peak [Pa]</t>
  </si>
  <si>
    <t xml:space="preserve">Plume 1st cell: axis temperature at peak [K]</t>
  </si>
  <si>
    <t xml:space="preserve">Plume 1st cell: axis density at peak [kg/m3]</t>
  </si>
  <si>
    <t xml:space="preserve">Plume 1st cell: axis velocity at peak [m/s]</t>
  </si>
  <si>
    <t xml:space="preserve">Plume 1st cell: end (closing shock) x [m]</t>
  </si>
  <si>
    <t xml:space="preserve">Plume 1st cell: length from lip [m]</t>
  </si>
  <si>
    <t xml:space="preserve">Plume 1st cell: axis Mach behind closing shock [-]</t>
  </si>
  <si>
    <t xml:space="preserve">Plume 1st cell: axis pressure behind closing shock [Pa]</t>
  </si>
  <si>
    <t xml:space="preserve">Plume 1st cell: axis temperature behind closing shock [K]</t>
  </si>
  <si>
    <t xml:space="preserve">Plume 1st cell: axis density behind closing shock [kg/m3]</t>
  </si>
  <si>
    <t xml:space="preserve">Plume 1st cell: pressure ratio across closing shock [-]</t>
  </si>
  <si>
    <t xml:space="preserve">Final relative residual [-]</t>
  </si>
  <si>
    <t xml:space="preserve">Blue = values read from each run's JSON output (sweep folder). 'Exit-axis density' = centreline cell at the nozzle exit. Plume 1st-cell definitions: see README.</t>
  </si>
  <si>
    <t xml:space="preserve">Coarse mesh study - % change relative to the PREVIOUS (next coarser) mesh: 100*(this - previous)/previous</t>
  </si>
  <si>
    <t xml:space="preserve">-30% -&gt; -20%</t>
  </si>
  <si>
    <t xml:space="preserve">-20% -&gt; -10%</t>
  </si>
  <si>
    <t xml:space="preserve">-10% -&gt; 0%</t>
  </si>
  <si>
    <t xml:space="preserve">0% -&gt; +10%</t>
  </si>
  <si>
    <t xml:space="preserve">+10% -&gt; +20%</t>
  </si>
  <si>
    <t xml:space="preserve">+20% -&gt; +30%</t>
  </si>
  <si>
    <t xml:space="preserve">Coarse mesh study - whole-field change relative to the PREVIOUS mesh (mean |difference| as % of the previous mesh's field range)</t>
  </si>
  <si>
    <t xml:space="preserve">Region / property</t>
  </si>
  <si>
    <t xml:space="preserve">Nozzle: Mach</t>
  </si>
  <si>
    <t xml:space="preserve">Nozzle: Pressure</t>
  </si>
  <si>
    <t xml:space="preserve">Nozzle: Temperature</t>
  </si>
  <si>
    <t xml:space="preserve">Nozzle: Density</t>
  </si>
  <si>
    <t xml:space="preserve">Nozzle: Velocity</t>
  </si>
  <si>
    <t xml:space="preserve">Plume 1st cell: Mach</t>
  </si>
  <si>
    <t xml:space="preserve">Plume 1st cell: Pressure</t>
  </si>
  <si>
    <t xml:space="preserve">Plume 1st cell: Temperature</t>
  </si>
  <si>
    <t xml:space="preserve">Plume 1st cell: Density</t>
  </si>
  <si>
    <t xml:space="preserve">Plume 1st cell: Velocity</t>
  </si>
  <si>
    <t xml:space="preserve">Plume: Mach</t>
  </si>
  <si>
    <t xml:space="preserve">Plume: Pressure</t>
  </si>
  <si>
    <t xml:space="preserve">Plume: Temperature</t>
  </si>
  <si>
    <t xml:space="preserve">Plume: Density</t>
  </si>
  <si>
    <t xml:space="preserve">Plume: Velocity</t>
  </si>
  <si>
    <t xml:space="preserve">Computed in Python: the finer mesh's field is linearly interpolated (scipy griddata) onto the previous mesh's cell centres; values are in % of field range (not fractions). Nozzle = x &lt;= 3 m (L_div); plume 1st cell = from the lip (x = 3 m) to the end of the 1st cell of the previous mesh; plume = all x &gt; 3 m.</t>
  </si>
  <si>
    <t xml:space="preserve">Plume rows beyond the first shock cell include the pseudo-time cycle of the 2nd cell (see analysis/second_cell_cycle.png), so they are not a pure grid effect.</t>
  </si>
  <si>
    <t xml:space="preserve">Fine mesh study (BELL profile, hybrid HLL/HLLC solver) - values per mesh</t>
  </si>
  <si>
    <t xml:space="preserve">-10%
180x45x139</t>
  </si>
  <si>
    <t xml:space="preserve">0%
200x50x154</t>
  </si>
  <si>
    <t xml:space="preserve">+10%
220x55x169</t>
  </si>
  <si>
    <t xml:space="preserve">+20%
240x60x185</t>
  </si>
  <si>
    <t xml:space="preserve">+30%
260x65x200</t>
  </si>
  <si>
    <t xml:space="preserve">+40%
280x70x216</t>
  </si>
  <si>
    <t xml:space="preserve">+50%
300x75x231</t>
  </si>
  <si>
    <t xml:space="preserve">+60%
320x80x246</t>
  </si>
  <si>
    <t xml:space="preserve">Fine mesh study - % change relative to the PREVIOUS (next coarser) mesh: 100*(this - previous)/previous</t>
  </si>
  <si>
    <t xml:space="preserve">+30% -&gt; +40%</t>
  </si>
  <si>
    <t xml:space="preserve">+40% -&gt; +50%</t>
  </si>
  <si>
    <t xml:space="preserve">+50% -&gt; +60%</t>
  </si>
  <si>
    <t xml:space="preserve">Fine mesh study - whole-field change relative to the PREVIOUS mesh (mean |difference| as % of the previous mesh's field range)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</si>
</sst>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0.000E+00"/>
    <numFmt numFmtId="167" formatCode="0.000%;\-0.000%;0.000%"/>
    <numFmt numFmtId="168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8</v>
      </c>
    </row>
    <row r="3" customFormat="false" ht="23.8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customFormat="false" ht="15" hidden="false" customHeight="false" outlineLevel="0" collapsed="false">
      <c r="A4" s="2" t="s">
        <v>17</v>
      </c>
      <c r="B4" s="5" t="n">
        <v>5096</v>
      </c>
      <c r="C4" s="5" t="n">
        <v>6656</v>
      </c>
      <c r="D4" s="5" t="n">
        <v>8424</v>
      </c>
      <c r="E4" s="5" t="n">
        <v>10400</v>
      </c>
      <c r="F4" s="5" t="n">
        <v>12584</v>
      </c>
      <c r="G4" s="5" t="n">
        <v>14976</v>
      </c>
      <c r="H4" s="5" t="n">
        <v>17576</v>
      </c>
    </row>
    <row r="5" customFormat="false" ht="15" hidden="false" customHeight="false" outlineLevel="0" collapsed="false">
      <c r="A5" s="2" t="s">
        <v>18</v>
      </c>
      <c r="B5" s="6" t="n">
        <v>2309.52</v>
      </c>
      <c r="C5" s="6" t="n">
        <v>2317.85</v>
      </c>
      <c r="D5" s="6" t="n">
        <v>2324.76</v>
      </c>
      <c r="E5" s="6" t="n">
        <v>2330.59</v>
      </c>
      <c r="F5" s="6" t="n">
        <v>2334.53</v>
      </c>
      <c r="G5" s="6" t="n">
        <v>2338.9</v>
      </c>
      <c r="H5" s="6" t="n">
        <v>2342.67</v>
      </c>
    </row>
    <row r="6" customFormat="false" ht="15" hidden="false" customHeight="false" outlineLevel="0" collapsed="false">
      <c r="A6" s="2" t="s">
        <v>19</v>
      </c>
      <c r="B6" s="6" t="n">
        <v>2289.47</v>
      </c>
      <c r="C6" s="6" t="n">
        <v>2302.56</v>
      </c>
      <c r="D6" s="6" t="n">
        <v>2313.19</v>
      </c>
      <c r="E6" s="6" t="n">
        <v>2321.32</v>
      </c>
      <c r="F6" s="6" t="n">
        <v>2326.57</v>
      </c>
      <c r="G6" s="6" t="n">
        <v>2332.29</v>
      </c>
      <c r="H6" s="6" t="n">
        <v>2337.06</v>
      </c>
    </row>
    <row r="7" customFormat="false" ht="15" hidden="false" customHeight="false" outlineLevel="0" collapsed="false">
      <c r="A7" s="2" t="s">
        <v>20</v>
      </c>
      <c r="B7" s="6" t="n">
        <v>4513820</v>
      </c>
      <c r="C7" s="6" t="n">
        <v>4532730</v>
      </c>
      <c r="D7" s="6" t="n">
        <v>4547570</v>
      </c>
      <c r="E7" s="6" t="n">
        <v>4560060</v>
      </c>
      <c r="F7" s="6" t="n">
        <v>4568010</v>
      </c>
      <c r="G7" s="6" t="n">
        <v>4577270</v>
      </c>
      <c r="H7" s="6" t="n">
        <v>4585190</v>
      </c>
    </row>
    <row r="8" customFormat="false" ht="15" hidden="false" customHeight="false" outlineLevel="0" collapsed="false">
      <c r="A8" s="2" t="s">
        <v>21</v>
      </c>
      <c r="B8" s="6" t="n">
        <v>4400220</v>
      </c>
      <c r="C8" s="6" t="n">
        <v>4432630</v>
      </c>
      <c r="D8" s="6" t="n">
        <v>4467340</v>
      </c>
      <c r="E8" s="6" t="n">
        <v>4489220</v>
      </c>
      <c r="F8" s="6" t="n">
        <v>4504190</v>
      </c>
      <c r="G8" s="6" t="n">
        <v>4519620</v>
      </c>
      <c r="H8" s="6" t="n">
        <v>4532630</v>
      </c>
    </row>
    <row r="9" customFormat="false" ht="15" hidden="false" customHeight="false" outlineLevel="0" collapsed="false">
      <c r="A9" s="2" t="s">
        <v>22</v>
      </c>
      <c r="B9" s="6" t="n">
        <v>195.983</v>
      </c>
      <c r="C9" s="6" t="n">
        <v>196.304</v>
      </c>
      <c r="D9" s="6" t="n">
        <v>196.933</v>
      </c>
      <c r="E9" s="6" t="n">
        <v>197.204</v>
      </c>
      <c r="F9" s="6" t="n">
        <v>197.415</v>
      </c>
      <c r="G9" s="6" t="n">
        <v>197.605</v>
      </c>
      <c r="H9" s="6" t="n">
        <v>197.77</v>
      </c>
    </row>
    <row r="10" customFormat="false" ht="15" hidden="false" customHeight="false" outlineLevel="0" collapsed="false">
      <c r="A10" s="2" t="s">
        <v>23</v>
      </c>
      <c r="B10" s="6" t="n">
        <v>0.939692</v>
      </c>
      <c r="C10" s="6" t="n">
        <v>0.945061</v>
      </c>
      <c r="D10" s="6" t="n">
        <v>0.949424</v>
      </c>
      <c r="E10" s="6" t="n">
        <v>0.952762</v>
      </c>
      <c r="F10" s="6" t="n">
        <v>0.954918</v>
      </c>
      <c r="G10" s="6" t="n">
        <v>0.957267</v>
      </c>
      <c r="H10" s="6" t="n">
        <v>0.959224</v>
      </c>
    </row>
    <row r="11" customFormat="false" ht="15" hidden="false" customHeight="false" outlineLevel="0" collapsed="false">
      <c r="A11" s="2" t="s">
        <v>24</v>
      </c>
      <c r="B11" s="6" t="n">
        <v>3.582</v>
      </c>
      <c r="C11" s="6" t="n">
        <v>3.615</v>
      </c>
      <c r="D11" s="6" t="n">
        <v>3.646</v>
      </c>
      <c r="E11" s="6" t="n">
        <v>3.675</v>
      </c>
      <c r="F11" s="6" t="n">
        <v>3.703</v>
      </c>
      <c r="G11" s="6" t="n">
        <v>3.729</v>
      </c>
      <c r="H11" s="6" t="n">
        <v>3.752</v>
      </c>
    </row>
    <row r="12" customFormat="false" ht="15" hidden="false" customHeight="false" outlineLevel="0" collapsed="false">
      <c r="A12" s="2" t="s">
        <v>25</v>
      </c>
      <c r="B12" s="6" t="n">
        <v>994.5</v>
      </c>
      <c r="C12" s="6" t="n">
        <v>981.5</v>
      </c>
      <c r="D12" s="6" t="n">
        <v>969.7</v>
      </c>
      <c r="E12" s="6" t="n">
        <v>958.8</v>
      </c>
      <c r="F12" s="6" t="n">
        <v>948.2</v>
      </c>
      <c r="G12" s="6" t="n">
        <v>939</v>
      </c>
      <c r="H12" s="6" t="n">
        <v>930.5</v>
      </c>
    </row>
    <row r="13" customFormat="false" ht="15" hidden="false" customHeight="false" outlineLevel="0" collapsed="false">
      <c r="A13" s="2" t="s">
        <v>26</v>
      </c>
      <c r="B13" s="6" t="n">
        <v>25154</v>
      </c>
      <c r="C13" s="6" t="n">
        <v>24166</v>
      </c>
      <c r="D13" s="6" t="n">
        <v>23251</v>
      </c>
      <c r="E13" s="6" t="n">
        <v>22407</v>
      </c>
      <c r="F13" s="6" t="n">
        <v>21592</v>
      </c>
      <c r="G13" s="6" t="n">
        <v>20888</v>
      </c>
      <c r="H13" s="6" t="n">
        <v>20246</v>
      </c>
    </row>
    <row r="14" customFormat="false" ht="15" hidden="false" customHeight="false" outlineLevel="0" collapsed="false">
      <c r="A14" s="2" t="s">
        <v>27</v>
      </c>
      <c r="B14" s="6" t="n">
        <v>2213.5</v>
      </c>
      <c r="C14" s="6" t="n">
        <v>2220.5</v>
      </c>
      <c r="D14" s="6" t="n">
        <v>2226.7</v>
      </c>
      <c r="E14" s="6" t="n">
        <v>2232.5</v>
      </c>
      <c r="F14" s="6" t="n">
        <v>2237.9</v>
      </c>
      <c r="G14" s="6" t="n">
        <v>2242.7</v>
      </c>
      <c r="H14" s="6" t="n">
        <v>2247.2</v>
      </c>
    </row>
    <row r="15" customFormat="false" ht="15" hidden="false" customHeight="false" outlineLevel="0" collapsed="false">
      <c r="A15" s="2" t="s">
        <v>28</v>
      </c>
      <c r="B15" s="6" t="n">
        <v>0.0881156</v>
      </c>
      <c r="C15" s="6" t="n">
        <v>0.0857721</v>
      </c>
      <c r="D15" s="6" t="n">
        <v>0.0835312</v>
      </c>
      <c r="E15" s="6" t="n">
        <v>0.0814144</v>
      </c>
      <c r="F15" s="6" t="n">
        <v>0.0793278</v>
      </c>
      <c r="G15" s="6" t="n">
        <v>0.0774968</v>
      </c>
      <c r="H15" s="6" t="n">
        <v>0.0758036</v>
      </c>
    </row>
    <row r="16" customFormat="false" ht="15" hidden="false" customHeight="false" outlineLevel="0" collapsed="false">
      <c r="A16" s="2" t="s">
        <v>29</v>
      </c>
      <c r="B16" s="6" t="n">
        <v>3.047</v>
      </c>
      <c r="C16" s="6" t="n">
        <v>3.055</v>
      </c>
      <c r="D16" s="6" t="n">
        <v>3.07</v>
      </c>
      <c r="E16" s="6" t="n">
        <v>3.077</v>
      </c>
      <c r="F16" s="6" t="n">
        <v>3.083</v>
      </c>
      <c r="G16" s="6" t="n">
        <v>3.088</v>
      </c>
      <c r="H16" s="6" t="n">
        <v>3.092</v>
      </c>
    </row>
    <row r="17" customFormat="false" ht="15" hidden="false" customHeight="false" outlineLevel="0" collapsed="false">
      <c r="A17" s="2" t="s">
        <v>30</v>
      </c>
      <c r="B17" s="6" t="n">
        <v>0.82676</v>
      </c>
      <c r="C17" s="6" t="n">
        <v>0.825</v>
      </c>
      <c r="D17" s="6" t="n">
        <v>0.82353</v>
      </c>
      <c r="E17" s="6" t="n">
        <v>0.82232</v>
      </c>
      <c r="F17" s="6" t="n">
        <v>0.82132</v>
      </c>
      <c r="G17" s="6" t="n">
        <v>0.82048</v>
      </c>
      <c r="H17" s="6" t="n">
        <v>0.81976</v>
      </c>
    </row>
    <row r="18" customFormat="false" ht="15" hidden="false" customHeight="false" outlineLevel="0" collapsed="false">
      <c r="A18" s="2" t="s">
        <v>31</v>
      </c>
      <c r="B18" s="6" t="n">
        <v>3.49272</v>
      </c>
      <c r="C18" s="6" t="n">
        <v>3.42994</v>
      </c>
      <c r="D18" s="6" t="n">
        <v>3.30973</v>
      </c>
      <c r="E18" s="6" t="n">
        <v>3.27851</v>
      </c>
      <c r="F18" s="6" t="n">
        <v>3.25102</v>
      </c>
      <c r="G18" s="6" t="n">
        <v>3.23011</v>
      </c>
      <c r="H18" s="6" t="n">
        <v>3.21242</v>
      </c>
    </row>
    <row r="19" customFormat="false" ht="15" hidden="false" customHeight="false" outlineLevel="0" collapsed="false">
      <c r="A19" s="2" t="s">
        <v>32</v>
      </c>
      <c r="B19" s="6" t="n">
        <v>3.64954</v>
      </c>
      <c r="C19" s="6" t="n">
        <v>3.66858</v>
      </c>
      <c r="D19" s="6" t="n">
        <v>3.69072</v>
      </c>
      <c r="E19" s="6" t="n">
        <v>3.71457</v>
      </c>
      <c r="F19" s="6" t="n">
        <v>3.74006</v>
      </c>
      <c r="G19" s="6" t="n">
        <v>3.7645</v>
      </c>
      <c r="H19" s="6" t="n">
        <v>3.78857</v>
      </c>
    </row>
    <row r="20" customFormat="false" ht="15" hidden="false" customHeight="false" outlineLevel="0" collapsed="false">
      <c r="A20" s="2" t="s">
        <v>33</v>
      </c>
      <c r="B20" s="6" t="n">
        <v>22344.4</v>
      </c>
      <c r="C20" s="6" t="n">
        <v>22039.1</v>
      </c>
      <c r="D20" s="6" t="n">
        <v>21592</v>
      </c>
      <c r="E20" s="6" t="n">
        <v>21002.7</v>
      </c>
      <c r="F20" s="6" t="n">
        <v>20348.7</v>
      </c>
      <c r="G20" s="6" t="n">
        <v>19721.8</v>
      </c>
      <c r="H20" s="6" t="n">
        <v>19109.5</v>
      </c>
    </row>
    <row r="21" customFormat="false" ht="15" hidden="false" customHeight="false" outlineLevel="0" collapsed="false">
      <c r="A21" s="2" t="s">
        <v>34</v>
      </c>
      <c r="B21" s="6" t="n">
        <v>967.992</v>
      </c>
      <c r="C21" s="6" t="n">
        <v>961.044</v>
      </c>
      <c r="D21" s="6" t="n">
        <v>952.844</v>
      </c>
      <c r="E21" s="6" t="n">
        <v>944.068</v>
      </c>
      <c r="F21" s="6" t="n">
        <v>934.728</v>
      </c>
      <c r="G21" s="6" t="n">
        <v>925.892</v>
      </c>
      <c r="H21" s="6" t="n">
        <v>917.276</v>
      </c>
    </row>
    <row r="22" customFormat="false" ht="15" hidden="false" customHeight="false" outlineLevel="0" collapsed="false">
      <c r="A22" s="2" t="s">
        <v>35</v>
      </c>
      <c r="B22" s="6" t="n">
        <v>0.0804141</v>
      </c>
      <c r="C22" s="6" t="n">
        <v>0.0798888</v>
      </c>
      <c r="D22" s="6" t="n">
        <v>0.0789415</v>
      </c>
      <c r="E22" s="6" t="n">
        <v>0.0775008</v>
      </c>
      <c r="F22" s="6" t="n">
        <v>0.0758378</v>
      </c>
      <c r="G22" s="6" t="n">
        <v>0.0742028</v>
      </c>
      <c r="H22" s="6" t="n">
        <v>0.0725745</v>
      </c>
    </row>
    <row r="23" customFormat="false" ht="15" hidden="false" customHeight="false" outlineLevel="0" collapsed="false">
      <c r="A23" s="2" t="s">
        <v>36</v>
      </c>
      <c r="B23" s="6" t="n">
        <v>2226.93</v>
      </c>
      <c r="C23" s="6" t="n">
        <v>2230.95</v>
      </c>
      <c r="D23" s="6" t="n">
        <v>2235.35</v>
      </c>
      <c r="E23" s="6" t="n">
        <v>2239.99</v>
      </c>
      <c r="F23" s="6" t="n">
        <v>2244.81</v>
      </c>
      <c r="G23" s="6" t="n">
        <v>2249.37</v>
      </c>
      <c r="H23" s="6" t="n">
        <v>2253.79</v>
      </c>
    </row>
    <row r="24" customFormat="false" ht="15" hidden="false" customHeight="false" outlineLevel="0" collapsed="false">
      <c r="A24" s="2" t="s">
        <v>37</v>
      </c>
      <c r="B24" s="6" t="n">
        <v>4.88462</v>
      </c>
      <c r="C24" s="6" t="n">
        <v>5.14672</v>
      </c>
      <c r="D24" s="6" t="n">
        <v>5.25785</v>
      </c>
      <c r="E24" s="6" t="n">
        <v>5.44016</v>
      </c>
      <c r="F24" s="6" t="n">
        <v>5.49266</v>
      </c>
      <c r="G24" s="6" t="n">
        <v>5.6292</v>
      </c>
      <c r="H24" s="6" t="n">
        <v>5.67305</v>
      </c>
    </row>
    <row r="25" customFormat="false" ht="15" hidden="false" customHeight="false" outlineLevel="0" collapsed="false">
      <c r="A25" s="2" t="s">
        <v>38</v>
      </c>
      <c r="B25" s="6" t="n">
        <v>1.88462</v>
      </c>
      <c r="C25" s="6" t="n">
        <v>2.14672</v>
      </c>
      <c r="D25" s="6" t="n">
        <v>2.25785</v>
      </c>
      <c r="E25" s="6" t="n">
        <v>2.44016</v>
      </c>
      <c r="F25" s="6" t="n">
        <v>2.49266</v>
      </c>
      <c r="G25" s="6" t="n">
        <v>2.6292</v>
      </c>
      <c r="H25" s="6" t="n">
        <v>2.67305</v>
      </c>
    </row>
    <row r="26" customFormat="false" ht="15" hidden="false" customHeight="false" outlineLevel="0" collapsed="false">
      <c r="A26" s="2" t="s">
        <v>39</v>
      </c>
      <c r="B26" s="6" t="n">
        <v>2.23544</v>
      </c>
      <c r="C26" s="6" t="n">
        <v>2.21422</v>
      </c>
      <c r="D26" s="6" t="n">
        <v>2.19897</v>
      </c>
      <c r="E26" s="6" t="n">
        <v>2.17964</v>
      </c>
      <c r="F26" s="6" t="n">
        <v>2.15822</v>
      </c>
      <c r="G26" s="6" t="n">
        <v>2.15175</v>
      </c>
      <c r="H26" s="6" t="n">
        <v>2.16298</v>
      </c>
    </row>
    <row r="27" customFormat="false" ht="15" hidden="false" customHeight="false" outlineLevel="0" collapsed="false">
      <c r="A27" s="2" t="s">
        <v>40</v>
      </c>
      <c r="B27" s="6" t="n">
        <v>196652</v>
      </c>
      <c r="C27" s="6" t="n">
        <v>214126</v>
      </c>
      <c r="D27" s="6" t="n">
        <v>227122</v>
      </c>
      <c r="E27" s="6" t="n">
        <v>239845</v>
      </c>
      <c r="F27" s="6" t="n">
        <v>252845</v>
      </c>
      <c r="G27" s="6" t="n">
        <v>256181</v>
      </c>
      <c r="H27" s="6" t="n">
        <v>253752</v>
      </c>
    </row>
    <row r="28" customFormat="false" ht="15" hidden="false" customHeight="false" outlineLevel="0" collapsed="false">
      <c r="A28" s="2" t="s">
        <v>41</v>
      </c>
      <c r="B28" s="6" t="n">
        <v>1706.38</v>
      </c>
      <c r="C28" s="6" t="n">
        <v>1728.16</v>
      </c>
      <c r="D28" s="6" t="n">
        <v>1742.83</v>
      </c>
      <c r="E28" s="6" t="n">
        <v>1758.51</v>
      </c>
      <c r="F28" s="6" t="n">
        <v>1775.6</v>
      </c>
      <c r="G28" s="6" t="n">
        <v>1777.09</v>
      </c>
      <c r="H28" s="6" t="n">
        <v>1769.5</v>
      </c>
    </row>
    <row r="29" customFormat="false" ht="15" hidden="false" customHeight="false" outlineLevel="0" collapsed="false">
      <c r="A29" s="2" t="s">
        <v>42</v>
      </c>
      <c r="B29" s="6" t="n">
        <v>0.401473</v>
      </c>
      <c r="C29" s="6" t="n">
        <v>0.43164</v>
      </c>
      <c r="D29" s="6" t="n">
        <v>0.453982</v>
      </c>
      <c r="E29" s="6" t="n">
        <v>0.475139</v>
      </c>
      <c r="F29" s="6" t="n">
        <v>0.496071</v>
      </c>
      <c r="G29" s="6" t="n">
        <v>0.502195</v>
      </c>
      <c r="H29" s="6" t="n">
        <v>0.499566</v>
      </c>
    </row>
    <row r="30" customFormat="false" ht="15" hidden="false" customHeight="false" outlineLevel="0" collapsed="false">
      <c r="A30" s="2" t="s">
        <v>43</v>
      </c>
      <c r="B30" s="6" t="n">
        <v>8.80095236390326</v>
      </c>
      <c r="C30" s="6" t="n">
        <v>9.71573249361362</v>
      </c>
      <c r="D30" s="6" t="n">
        <v>10.5188032604668</v>
      </c>
      <c r="E30" s="6" t="n">
        <v>11.41972222619</v>
      </c>
      <c r="F30" s="6" t="n">
        <v>12.4256094983955</v>
      </c>
      <c r="G30" s="6" t="n">
        <v>12.9897372450791</v>
      </c>
      <c r="H30" s="6" t="n">
        <v>13.2788403673566</v>
      </c>
    </row>
    <row r="31" customFormat="false" ht="15" hidden="false" customHeight="false" outlineLevel="0" collapsed="false">
      <c r="A31" s="2" t="s">
        <v>44</v>
      </c>
      <c r="B31" s="7" t="n">
        <v>0.01559</v>
      </c>
      <c r="C31" s="7" t="n">
        <v>0.01996</v>
      </c>
      <c r="D31" s="7" t="n">
        <v>9.997E-006</v>
      </c>
      <c r="E31" s="7" t="n">
        <v>0.0001507</v>
      </c>
      <c r="F31" s="7" t="n">
        <v>0.002324</v>
      </c>
      <c r="G31" s="7" t="n">
        <v>0.00927</v>
      </c>
      <c r="H31" s="7" t="n">
        <v>0.01104</v>
      </c>
    </row>
    <row r="33" customFormat="false" ht="15" hidden="false" customHeight="false" outlineLevel="0" collapsed="false">
      <c r="A3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46</v>
      </c>
    </row>
    <row r="3" customFormat="false" ht="15" hidden="false" customHeight="false" outlineLevel="0" collapsed="false">
      <c r="A3" s="4" t="s">
        <v>9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customFormat="false" ht="15" hidden="false" customHeight="false" outlineLevel="0" collapsed="false">
      <c r="A4" s="2" t="str">
        <f aca="false">Coarse_values!A4</f>
        <v>Cells [-]</v>
      </c>
      <c r="B4" s="9" t="n">
        <f aca="false">IFERROR((Coarse_values!C4-Coarse_values!B4)/ABS(Coarse_values!B4),"")</f>
        <v>0.306122448979592</v>
      </c>
      <c r="C4" s="9" t="n">
        <f aca="false">IFERROR((Coarse_values!D4-Coarse_values!C4)/ABS(Coarse_values!C4),"")</f>
        <v>0.265625</v>
      </c>
      <c r="D4" s="9" t="n">
        <f aca="false">IFERROR((Coarse_values!E4-Coarse_values!D4)/ABS(Coarse_values!D4),"")</f>
        <v>0.234567901234568</v>
      </c>
      <c r="E4" s="9" t="n">
        <f aca="false">IFERROR((Coarse_values!F4-Coarse_values!E4)/ABS(Coarse_values!E4),"")</f>
        <v>0.21</v>
      </c>
      <c r="F4" s="9" t="n">
        <f aca="false">IFERROR((Coarse_values!G4-Coarse_values!F4)/ABS(Coarse_values!F4),"")</f>
        <v>0.190082644628099</v>
      </c>
      <c r="G4" s="9" t="n">
        <f aca="false">IFERROR((Coarse_values!H4-Coarse_values!G4)/ABS(Coarse_values!G4),"")</f>
        <v>0.173611111111111</v>
      </c>
    </row>
    <row r="5" customFormat="false" ht="15" hidden="false" customHeight="false" outlineLevel="0" collapsed="false">
      <c r="A5" s="2" t="str">
        <f aca="false">Coarse_values!A5</f>
        <v>Mass flow, inlet [kg/s]</v>
      </c>
      <c r="B5" s="9" t="n">
        <f aca="false">IFERROR((Coarse_values!C5-Coarse_values!B5)/ABS(Coarse_values!B5),"")</f>
        <v>0.00360681007308875</v>
      </c>
      <c r="C5" s="9" t="n">
        <f aca="false">IFERROR((Coarse_values!D5-Coarse_values!C5)/ABS(Coarse_values!C5),"")</f>
        <v>0.00298121103608961</v>
      </c>
      <c r="D5" s="9" t="n">
        <f aca="false">IFERROR((Coarse_values!E5-Coarse_values!D5)/ABS(Coarse_values!D5),"")</f>
        <v>0.00250778574992684</v>
      </c>
      <c r="E5" s="9" t="n">
        <f aca="false">IFERROR((Coarse_values!F5-Coarse_values!E5)/ABS(Coarse_values!E5),"")</f>
        <v>0.00169055904298914</v>
      </c>
      <c r="F5" s="9" t="n">
        <f aca="false">IFERROR((Coarse_values!G5-Coarse_values!F5)/ABS(Coarse_values!F5),"")</f>
        <v>0.0018718971270448</v>
      </c>
      <c r="G5" s="9" t="n">
        <f aca="false">IFERROR((Coarse_values!H5-Coarse_values!G5)/ABS(Coarse_values!G5),"")</f>
        <v>0.00161186882722647</v>
      </c>
    </row>
    <row r="6" customFormat="false" ht="15" hidden="false" customHeight="false" outlineLevel="0" collapsed="false">
      <c r="A6" s="2" t="str">
        <f aca="false">Coarse_values!A6</f>
        <v>Mass flow, exit plane [kg/s]</v>
      </c>
      <c r="B6" s="9" t="n">
        <f aca="false">IFERROR((Coarse_values!C6-Coarse_values!B6)/ABS(Coarse_values!B6),"")</f>
        <v>0.00571748046491116</v>
      </c>
      <c r="C6" s="9" t="n">
        <f aca="false">IFERROR((Coarse_values!D6-Coarse_values!C6)/ABS(Coarse_values!C6),"")</f>
        <v>0.00461660065318607</v>
      </c>
      <c r="D6" s="9" t="n">
        <f aca="false">IFERROR((Coarse_values!E6-Coarse_values!D6)/ABS(Coarse_values!D6),"")</f>
        <v>0.00351462698697474</v>
      </c>
      <c r="E6" s="9" t="n">
        <f aca="false">IFERROR((Coarse_values!F6-Coarse_values!E6)/ABS(Coarse_values!E6),"")</f>
        <v>0.0022616442368997</v>
      </c>
      <c r="F6" s="9" t="n">
        <f aca="false">IFERROR((Coarse_values!G6-Coarse_values!F6)/ABS(Coarse_values!F6),"")</f>
        <v>0.00245855486832539</v>
      </c>
      <c r="G6" s="9" t="n">
        <f aca="false">IFERROR((Coarse_values!H6-Coarse_values!G6)/ABS(Coarse_values!G6),"")</f>
        <v>0.00204520021095146</v>
      </c>
    </row>
    <row r="7" customFormat="false" ht="15" hidden="false" customHeight="false" outlineLevel="0" collapsed="false">
      <c r="A7" s="2" t="str">
        <f aca="false">Coarse_values!A7</f>
        <v>Thrust, wall-pressure method [N]</v>
      </c>
      <c r="B7" s="9" t="n">
        <f aca="false">IFERROR((Coarse_values!C7-Coarse_values!B7)/ABS(Coarse_values!B7),"")</f>
        <v>0.00418935624371375</v>
      </c>
      <c r="C7" s="9" t="n">
        <f aca="false">IFERROR((Coarse_values!D7-Coarse_values!C7)/ABS(Coarse_values!C7),"")</f>
        <v>0.00327396513800734</v>
      </c>
      <c r="D7" s="9" t="n">
        <f aca="false">IFERROR((Coarse_values!E7-Coarse_values!D7)/ABS(Coarse_values!D7),"")</f>
        <v>0.00274652176876882</v>
      </c>
      <c r="E7" s="9" t="n">
        <f aca="false">IFERROR((Coarse_values!F7-Coarse_values!E7)/ABS(Coarse_values!E7),"")</f>
        <v>0.00174339811318272</v>
      </c>
      <c r="F7" s="9" t="n">
        <f aca="false">IFERROR((Coarse_values!G7-Coarse_values!F7)/ABS(Coarse_values!F7),"")</f>
        <v>0.00202714092132022</v>
      </c>
      <c r="G7" s="9" t="n">
        <f aca="false">IFERROR((Coarse_values!H7-Coarse_values!G7)/ABS(Coarse_values!G7),"")</f>
        <v>0.00173028901506793</v>
      </c>
    </row>
    <row r="8" customFormat="false" ht="15" hidden="false" customHeight="false" outlineLevel="0" collapsed="false">
      <c r="A8" s="2" t="str">
        <f aca="false">Coarse_values!A8</f>
        <v>Thrust, exit-plane method [N]</v>
      </c>
      <c r="B8" s="9" t="n">
        <f aca="false">IFERROR((Coarse_values!C8-Coarse_values!B8)/ABS(Coarse_values!B8),"")</f>
        <v>0.0073655408138684</v>
      </c>
      <c r="C8" s="9" t="n">
        <f aca="false">IFERROR((Coarse_values!D8-Coarse_values!C8)/ABS(Coarse_values!C8),"")</f>
        <v>0.00783056560100888</v>
      </c>
      <c r="D8" s="9" t="n">
        <f aca="false">IFERROR((Coarse_values!E8-Coarse_values!D8)/ABS(Coarse_values!D8),"")</f>
        <v>0.00489776914226363</v>
      </c>
      <c r="E8" s="9" t="n">
        <f aca="false">IFERROR((Coarse_values!F8-Coarse_values!E8)/ABS(Coarse_values!E8),"")</f>
        <v>0.00333465501802095</v>
      </c>
      <c r="F8" s="9" t="n">
        <f aca="false">IFERROR((Coarse_values!G8-Coarse_values!F8)/ABS(Coarse_values!F8),"")</f>
        <v>0.00342569918231691</v>
      </c>
      <c r="G8" s="9" t="n">
        <f aca="false">IFERROR((Coarse_values!H8-Coarse_values!G8)/ABS(Coarse_values!G8),"")</f>
        <v>0.002878560586952</v>
      </c>
    </row>
    <row r="9" customFormat="false" ht="15" hidden="false" customHeight="false" outlineLevel="0" collapsed="false">
      <c r="A9" s="2" t="str">
        <f aca="false">Coarse_values!A9</f>
        <v>Specific impulse Isp [s]</v>
      </c>
      <c r="B9" s="9" t="n">
        <f aca="false">IFERROR((Coarse_values!C9-Coarse_values!B9)/ABS(Coarse_values!B9),"")</f>
        <v>0.00163789716454998</v>
      </c>
      <c r="C9" s="9" t="n">
        <f aca="false">IFERROR((Coarse_values!D9-Coarse_values!C9)/ABS(Coarse_values!C9),"")</f>
        <v>0.00320421387236119</v>
      </c>
      <c r="D9" s="9" t="n">
        <f aca="false">IFERROR((Coarse_values!E9-Coarse_values!D9)/ABS(Coarse_values!D9),"")</f>
        <v>0.00137610253233341</v>
      </c>
      <c r="E9" s="9" t="n">
        <f aca="false">IFERROR((Coarse_values!F9-Coarse_values!E9)/ABS(Coarse_values!E9),"")</f>
        <v>0.00106995801302197</v>
      </c>
      <c r="F9" s="9" t="n">
        <f aca="false">IFERROR((Coarse_values!G9-Coarse_values!F9)/ABS(Coarse_values!F9),"")</f>
        <v>0.000962439530937354</v>
      </c>
      <c r="G9" s="9" t="n">
        <f aca="false">IFERROR((Coarse_values!H9-Coarse_values!G9)/ABS(Coarse_values!G9),"")</f>
        <v>0.000834999114394982</v>
      </c>
    </row>
    <row r="10" customFormat="false" ht="15" hidden="false" customHeight="false" outlineLevel="0" collapsed="false">
      <c r="A10" s="2" t="str">
        <f aca="false">Coarse_values!A10</f>
        <v>Discharge coefficient Cd [-]</v>
      </c>
      <c r="B10" s="9" t="n">
        <f aca="false">IFERROR((Coarse_values!C10-Coarse_values!B10)/ABS(Coarse_values!B10),"")</f>
        <v>0.00571357423496217</v>
      </c>
      <c r="C10" s="9" t="n">
        <f aca="false">IFERROR((Coarse_values!D10-Coarse_values!C10)/ABS(Coarse_values!C10),"")</f>
        <v>0.00461663321203606</v>
      </c>
      <c r="D10" s="9" t="n">
        <f aca="false">IFERROR((Coarse_values!E10-Coarse_values!D10)/ABS(Coarse_values!D10),"")</f>
        <v>0.00351581590522248</v>
      </c>
      <c r="E10" s="9" t="n">
        <f aca="false">IFERROR((Coarse_values!F10-Coarse_values!E10)/ABS(Coarse_values!E10),"")</f>
        <v>0.00226289461586424</v>
      </c>
      <c r="F10" s="9" t="n">
        <f aca="false">IFERROR((Coarse_values!G10-Coarse_values!F10)/ABS(Coarse_values!F10),"")</f>
        <v>0.00245989708016807</v>
      </c>
      <c r="G10" s="9" t="n">
        <f aca="false">IFERROR((Coarse_values!H10-Coarse_values!G10)/ABS(Coarse_values!G10),"")</f>
        <v>0.0020443617089067</v>
      </c>
    </row>
    <row r="11" customFormat="false" ht="15" hidden="false" customHeight="false" outlineLevel="0" collapsed="false">
      <c r="A11" s="2" t="str">
        <f aca="false">Coarse_values!A11</f>
        <v>Exit-axis Mach [-]</v>
      </c>
      <c r="B11" s="9" t="n">
        <f aca="false">IFERROR((Coarse_values!C11-Coarse_values!B11)/ABS(Coarse_values!B11),"")</f>
        <v>0.00921273031825806</v>
      </c>
      <c r="C11" s="9" t="n">
        <f aca="false">IFERROR((Coarse_values!D11-Coarse_values!C11)/ABS(Coarse_values!C11),"")</f>
        <v>0.00857538035961264</v>
      </c>
      <c r="D11" s="9" t="n">
        <f aca="false">IFERROR((Coarse_values!E11-Coarse_values!D11)/ABS(Coarse_values!D11),"")</f>
        <v>0.00795392210641797</v>
      </c>
      <c r="E11" s="9" t="n">
        <f aca="false">IFERROR((Coarse_values!F11-Coarse_values!E11)/ABS(Coarse_values!E11),"")</f>
        <v>0.00761904761904763</v>
      </c>
      <c r="F11" s="9" t="n">
        <f aca="false">IFERROR((Coarse_values!G11-Coarse_values!F11)/ABS(Coarse_values!F11),"")</f>
        <v>0.00702133405347023</v>
      </c>
      <c r="G11" s="9" t="n">
        <f aca="false">IFERROR((Coarse_values!H11-Coarse_values!G11)/ABS(Coarse_values!G11),"")</f>
        <v>0.00616787342451051</v>
      </c>
    </row>
    <row r="12" customFormat="false" ht="15" hidden="false" customHeight="false" outlineLevel="0" collapsed="false">
      <c r="A12" s="2" t="str">
        <f aca="false">Coarse_values!A12</f>
        <v>Exit-axis temperature [K]</v>
      </c>
      <c r="B12" s="9" t="n">
        <f aca="false">IFERROR((Coarse_values!C12-Coarse_values!B12)/ABS(Coarse_values!B12),"")</f>
        <v>-0.0130718954248366</v>
      </c>
      <c r="C12" s="9" t="n">
        <f aca="false">IFERROR((Coarse_values!D12-Coarse_values!C12)/ABS(Coarse_values!C12),"")</f>
        <v>-0.0120224146714212</v>
      </c>
      <c r="D12" s="9" t="n">
        <f aca="false">IFERROR((Coarse_values!E12-Coarse_values!D12)/ABS(Coarse_values!D12),"")</f>
        <v>-0.0112405898731567</v>
      </c>
      <c r="E12" s="9" t="n">
        <f aca="false">IFERROR((Coarse_values!F12-Coarse_values!E12)/ABS(Coarse_values!E12),"")</f>
        <v>-0.0110554860241968</v>
      </c>
      <c r="F12" s="9" t="n">
        <f aca="false">IFERROR((Coarse_values!G12-Coarse_values!F12)/ABS(Coarse_values!F12),"")</f>
        <v>-0.00970259438936938</v>
      </c>
      <c r="G12" s="9" t="n">
        <f aca="false">IFERROR((Coarse_values!H12-Coarse_values!G12)/ABS(Coarse_values!G12),"")</f>
        <v>-0.00905218317358893</v>
      </c>
    </row>
    <row r="13" customFormat="false" ht="15" hidden="false" customHeight="false" outlineLevel="0" collapsed="false">
      <c r="A13" s="2" t="str">
        <f aca="false">Coarse_values!A13</f>
        <v>Exit-axis pressure [Pa]</v>
      </c>
      <c r="B13" s="9" t="n">
        <f aca="false">IFERROR((Coarse_values!C13-Coarse_values!B13)/ABS(Coarse_values!B13),"")</f>
        <v>-0.0392780472290689</v>
      </c>
      <c r="C13" s="9" t="n">
        <f aca="false">IFERROR((Coarse_values!D13-Coarse_values!C13)/ABS(Coarse_values!C13),"")</f>
        <v>-0.037863113465199</v>
      </c>
      <c r="D13" s="9" t="n">
        <f aca="false">IFERROR((Coarse_values!E13-Coarse_values!D13)/ABS(Coarse_values!D13),"")</f>
        <v>-0.0362995139993979</v>
      </c>
      <c r="E13" s="9" t="n">
        <f aca="false">IFERROR((Coarse_values!F13-Coarse_values!E13)/ABS(Coarse_values!E13),"")</f>
        <v>-0.036372562145758</v>
      </c>
      <c r="F13" s="9" t="n">
        <f aca="false">IFERROR((Coarse_values!G13-Coarse_values!F13)/ABS(Coarse_values!F13),"")</f>
        <v>-0.0326046683957021</v>
      </c>
      <c r="G13" s="9" t="n">
        <f aca="false">IFERROR((Coarse_values!H13-Coarse_values!G13)/ABS(Coarse_values!G13),"")</f>
        <v>-0.0307353504404443</v>
      </c>
    </row>
    <row r="14" customFormat="false" ht="15" hidden="false" customHeight="false" outlineLevel="0" collapsed="false">
      <c r="A14" s="2" t="str">
        <f aca="false">Coarse_values!A14</f>
        <v>Exit-axis velocity [m/s]</v>
      </c>
      <c r="B14" s="9" t="n">
        <f aca="false">IFERROR((Coarse_values!C14-Coarse_values!B14)/ABS(Coarse_values!B14),"")</f>
        <v>0.00316241246894059</v>
      </c>
      <c r="C14" s="9" t="n">
        <f aca="false">IFERROR((Coarse_values!D14-Coarse_values!C14)/ABS(Coarse_values!C14),"")</f>
        <v>0.00279216392704338</v>
      </c>
      <c r="D14" s="9" t="n">
        <f aca="false">IFERROR((Coarse_values!E14-Coarse_values!D14)/ABS(Coarse_values!D14),"")</f>
        <v>0.00260475142587694</v>
      </c>
      <c r="E14" s="9" t="n">
        <f aca="false">IFERROR((Coarse_values!F14-Coarse_values!E14)/ABS(Coarse_values!E14),"")</f>
        <v>0.00241881298992165</v>
      </c>
      <c r="F14" s="9" t="n">
        <f aca="false">IFERROR((Coarse_values!G14-Coarse_values!F14)/ABS(Coarse_values!F14),"")</f>
        <v>0.0021448679565663</v>
      </c>
      <c r="G14" s="9" t="n">
        <f aca="false">IFERROR((Coarse_values!H14-Coarse_values!G14)/ABS(Coarse_values!G14),"")</f>
        <v>0.0020065100102555</v>
      </c>
    </row>
    <row r="15" customFormat="false" ht="15" hidden="false" customHeight="false" outlineLevel="0" collapsed="false">
      <c r="A15" s="2" t="str">
        <f aca="false">Coarse_values!A15</f>
        <v>Exit-axis density [kg/m3]</v>
      </c>
      <c r="B15" s="9" t="n">
        <f aca="false">IFERROR((Coarse_values!C15-Coarse_values!B15)/ABS(Coarse_values!B15),"")</f>
        <v>-0.026595744680851</v>
      </c>
      <c r="C15" s="9" t="n">
        <f aca="false">IFERROR((Coarse_values!D15-Coarse_values!C15)/ABS(Coarse_values!C15),"")</f>
        <v>-0.0261262112038764</v>
      </c>
      <c r="D15" s="9" t="n">
        <f aca="false">IFERROR((Coarse_values!E15-Coarse_values!D15)/ABS(Coarse_values!D15),"")</f>
        <v>-0.0253414293102458</v>
      </c>
      <c r="E15" s="9" t="n">
        <f aca="false">IFERROR((Coarse_values!F15-Coarse_values!E15)/ABS(Coarse_values!E15),"")</f>
        <v>-0.0256293726908261</v>
      </c>
      <c r="F15" s="9" t="n">
        <f aca="false">IFERROR((Coarse_values!G15-Coarse_values!F15)/ABS(Coarse_values!F15),"")</f>
        <v>-0.0230814418148493</v>
      </c>
      <c r="G15" s="9" t="n">
        <f aca="false">IFERROR((Coarse_values!H15-Coarse_values!G15)/ABS(Coarse_values!G15),"")</f>
        <v>-0.0218486440730457</v>
      </c>
    </row>
    <row r="16" customFormat="false" ht="15" hidden="false" customHeight="false" outlineLevel="0" collapsed="false">
      <c r="A16" s="2" t="str">
        <f aca="false">Coarse_values!A16</f>
        <v>Exit mass-averaged Mach [-]</v>
      </c>
      <c r="B16" s="9" t="n">
        <f aca="false">IFERROR((Coarse_values!C16-Coarse_values!B16)/ABS(Coarse_values!B16),"")</f>
        <v>0.00262553331145389</v>
      </c>
      <c r="C16" s="9" t="n">
        <f aca="false">IFERROR((Coarse_values!D16-Coarse_values!C16)/ABS(Coarse_values!C16),"")</f>
        <v>0.00490998363338778</v>
      </c>
      <c r="D16" s="9" t="n">
        <f aca="false">IFERROR((Coarse_values!E16-Coarse_values!D16)/ABS(Coarse_values!D16),"")</f>
        <v>0.00228013029315965</v>
      </c>
      <c r="E16" s="9" t="n">
        <f aca="false">IFERROR((Coarse_values!F16-Coarse_values!E16)/ABS(Coarse_values!E16),"")</f>
        <v>0.00194995125121879</v>
      </c>
      <c r="F16" s="9" t="n">
        <f aca="false">IFERROR((Coarse_values!G16-Coarse_values!F16)/ABS(Coarse_values!F16),"")</f>
        <v>0.0016217969510217</v>
      </c>
      <c r="G16" s="9" t="n">
        <f aca="false">IFERROR((Coarse_values!H16-Coarse_values!G16)/ABS(Coarse_values!G16),"")</f>
        <v>0.00129533678756477</v>
      </c>
    </row>
    <row r="17" customFormat="false" ht="15" hidden="false" customHeight="false" outlineLevel="0" collapsed="false">
      <c r="A17" s="2" t="str">
        <f aca="false">Coarse_values!A17</f>
        <v>Throat-axis Mach [-]</v>
      </c>
      <c r="B17" s="9" t="n">
        <f aca="false">IFERROR((Coarse_values!C17-Coarse_values!B17)/ABS(Coarse_values!B17),"")</f>
        <v>-0.00212879191059085</v>
      </c>
      <c r="C17" s="9" t="n">
        <f aca="false">IFERROR((Coarse_values!D17-Coarse_values!C17)/ABS(Coarse_values!C17),"")</f>
        <v>-0.00178181818181815</v>
      </c>
      <c r="D17" s="9" t="n">
        <f aca="false">IFERROR((Coarse_values!E17-Coarse_values!D17)/ABS(Coarse_values!D17),"")</f>
        <v>-0.00146928466479659</v>
      </c>
      <c r="E17" s="9" t="n">
        <f aca="false">IFERROR((Coarse_values!F17-Coarse_values!E17)/ABS(Coarse_values!E17),"")</f>
        <v>-0.00121607160229594</v>
      </c>
      <c r="F17" s="9" t="n">
        <f aca="false">IFERROR((Coarse_values!G17-Coarse_values!F17)/ABS(Coarse_values!F17),"")</f>
        <v>-0.00102274387571234</v>
      </c>
      <c r="G17" s="9" t="n">
        <f aca="false">IFERROR((Coarse_values!H17-Coarse_values!G17)/ABS(Coarse_values!G17),"")</f>
        <v>-0.000877535101403987</v>
      </c>
    </row>
    <row r="18" customFormat="false" ht="15" hidden="false" customHeight="false" outlineLevel="0" collapsed="false">
      <c r="A18" s="2" t="str">
        <f aca="false">Coarse_values!A18</f>
        <v>Plume 1st cell: x of axis Mach peak [m]</v>
      </c>
      <c r="B18" s="9" t="n">
        <f aca="false">IFERROR((Coarse_values!C18-Coarse_values!B18)/ABS(Coarse_values!B18),"")</f>
        <v>-0.0179745298792917</v>
      </c>
      <c r="C18" s="9" t="n">
        <f aca="false">IFERROR((Coarse_values!D18-Coarse_values!C18)/ABS(Coarse_values!C18),"")</f>
        <v>-0.0350472603019295</v>
      </c>
      <c r="D18" s="9" t="n">
        <f aca="false">IFERROR((Coarse_values!E18-Coarse_values!D18)/ABS(Coarse_values!D18),"")</f>
        <v>-0.00943279361156356</v>
      </c>
      <c r="E18" s="9" t="n">
        <f aca="false">IFERROR((Coarse_values!F18-Coarse_values!E18)/ABS(Coarse_values!E18),"")</f>
        <v>-0.00838490655816203</v>
      </c>
      <c r="F18" s="9" t="n">
        <f aca="false">IFERROR((Coarse_values!G18-Coarse_values!F18)/ABS(Coarse_values!F18),"")</f>
        <v>-0.0064318275495076</v>
      </c>
      <c r="G18" s="9" t="n">
        <f aca="false">IFERROR((Coarse_values!H18-Coarse_values!G18)/ABS(Coarse_values!G18),"")</f>
        <v>-0.00547659367637634</v>
      </c>
    </row>
    <row r="19" customFormat="false" ht="15" hidden="false" customHeight="false" outlineLevel="0" collapsed="false">
      <c r="A19" s="2" t="str">
        <f aca="false">Coarse_values!A19</f>
        <v>Plume 1st cell: peak axis Mach [-]</v>
      </c>
      <c r="B19" s="9" t="n">
        <f aca="false">IFERROR((Coarse_values!C19-Coarse_values!B19)/ABS(Coarse_values!B19),"")</f>
        <v>0.005217095853176</v>
      </c>
      <c r="C19" s="9" t="n">
        <f aca="false">IFERROR((Coarse_values!D19-Coarse_values!C19)/ABS(Coarse_values!C19),"")</f>
        <v>0.00603503262842839</v>
      </c>
      <c r="D19" s="9" t="n">
        <f aca="false">IFERROR((Coarse_values!E19-Coarse_values!D19)/ABS(Coarse_values!D19),"")</f>
        <v>0.00646215372610233</v>
      </c>
      <c r="E19" s="9" t="n">
        <f aca="false">IFERROR((Coarse_values!F19-Coarse_values!E19)/ABS(Coarse_values!E19),"")</f>
        <v>0.00686216708798058</v>
      </c>
      <c r="F19" s="9" t="n">
        <f aca="false">IFERROR((Coarse_values!G19-Coarse_values!F19)/ABS(Coarse_values!F19),"")</f>
        <v>0.00653465452425891</v>
      </c>
      <c r="G19" s="9" t="n">
        <f aca="false">IFERROR((Coarse_values!H19-Coarse_values!G19)/ABS(Coarse_values!G19),"")</f>
        <v>0.00639394341878072</v>
      </c>
    </row>
    <row r="20" customFormat="false" ht="15" hidden="false" customHeight="false" outlineLevel="0" collapsed="false">
      <c r="A20" s="2" t="str">
        <f aca="false">Coarse_values!A20</f>
        <v>Plume 1st cell: axis pressure at peak [Pa]</v>
      </c>
      <c r="B20" s="9" t="n">
        <f aca="false">IFERROR((Coarse_values!C20-Coarse_values!B20)/ABS(Coarse_values!B20),"")</f>
        <v>-0.0136633787436674</v>
      </c>
      <c r="C20" s="9" t="n">
        <f aca="false">IFERROR((Coarse_values!D20-Coarse_values!C20)/ABS(Coarse_values!C20),"")</f>
        <v>-0.0202866723232799</v>
      </c>
      <c r="D20" s="9" t="n">
        <f aca="false">IFERROR((Coarse_values!E20-Coarse_values!D20)/ABS(Coarse_values!D20),"")</f>
        <v>-0.0272925157465728</v>
      </c>
      <c r="E20" s="9" t="n">
        <f aca="false">IFERROR((Coarse_values!F20-Coarse_values!E20)/ABS(Coarse_values!E20),"")</f>
        <v>-0.0311388535759688</v>
      </c>
      <c r="F20" s="9" t="n">
        <f aca="false">IFERROR((Coarse_values!G20-Coarse_values!F20)/ABS(Coarse_values!F20),"")</f>
        <v>-0.030807864875889</v>
      </c>
      <c r="G20" s="9" t="n">
        <f aca="false">IFERROR((Coarse_values!H20-Coarse_values!G20)/ABS(Coarse_values!G20),"")</f>
        <v>-0.03104686184831</v>
      </c>
    </row>
    <row r="21" customFormat="false" ht="15" hidden="false" customHeight="false" outlineLevel="0" collapsed="false">
      <c r="A21" s="2" t="str">
        <f aca="false">Coarse_values!A21</f>
        <v>Plume 1st cell: axis temperature at peak [K]</v>
      </c>
      <c r="B21" s="9" t="n">
        <f aca="false">IFERROR((Coarse_values!C21-Coarse_values!B21)/ABS(Coarse_values!B21),"")</f>
        <v>-0.00717774527062205</v>
      </c>
      <c r="C21" s="9" t="n">
        <f aca="false">IFERROR((Coarse_values!D21-Coarse_values!C21)/ABS(Coarse_values!C21),"")</f>
        <v>-0.00853238769504823</v>
      </c>
      <c r="D21" s="9" t="n">
        <f aca="false">IFERROR((Coarse_values!E21-Coarse_values!D21)/ABS(Coarse_values!D21),"")</f>
        <v>-0.00921032194147213</v>
      </c>
      <c r="E21" s="9" t="n">
        <f aca="false">IFERROR((Coarse_values!F21-Coarse_values!E21)/ABS(Coarse_values!E21),"")</f>
        <v>-0.00989335513967218</v>
      </c>
      <c r="F21" s="9" t="n">
        <f aca="false">IFERROR((Coarse_values!G21-Coarse_values!F21)/ABS(Coarse_values!F21),"")</f>
        <v>-0.0094530173483622</v>
      </c>
      <c r="G21" s="9" t="n">
        <f aca="false">IFERROR((Coarse_values!H21-Coarse_values!G21)/ABS(Coarse_values!G21),"")</f>
        <v>-0.00930562095795201</v>
      </c>
    </row>
    <row r="22" customFormat="false" ht="15" hidden="false" customHeight="false" outlineLevel="0" collapsed="false">
      <c r="A22" s="2" t="str">
        <f aca="false">Coarse_values!A22</f>
        <v>Plume 1st cell: axis density at peak [kg/m3]</v>
      </c>
      <c r="B22" s="9" t="n">
        <f aca="false">IFERROR((Coarse_values!C22-Coarse_values!B22)/ABS(Coarse_values!B22),"")</f>
        <v>-0.00653243647569277</v>
      </c>
      <c r="C22" s="9" t="n">
        <f aca="false">IFERROR((Coarse_values!D22-Coarse_values!C22)/ABS(Coarse_values!C22),"")</f>
        <v>-0.0118577322478245</v>
      </c>
      <c r="D22" s="9" t="n">
        <f aca="false">IFERROR((Coarse_values!E22-Coarse_values!D22)/ABS(Coarse_values!D22),"")</f>
        <v>-0.0182502232665962</v>
      </c>
      <c r="E22" s="9" t="n">
        <f aca="false">IFERROR((Coarse_values!F22-Coarse_values!E22)/ABS(Coarse_values!E22),"")</f>
        <v>-0.021457843015814</v>
      </c>
      <c r="F22" s="9" t="n">
        <f aca="false">IFERROR((Coarse_values!G22-Coarse_values!F22)/ABS(Coarse_values!F22),"")</f>
        <v>-0.0215591697016527</v>
      </c>
      <c r="G22" s="9" t="n">
        <f aca="false">IFERROR((Coarse_values!H22-Coarse_values!G22)/ABS(Coarse_values!G22),"")</f>
        <v>-0.0219439158630132</v>
      </c>
    </row>
    <row r="23" customFormat="false" ht="15" hidden="false" customHeight="false" outlineLevel="0" collapsed="false">
      <c r="A23" s="2" t="str">
        <f aca="false">Coarse_values!A23</f>
        <v>Plume 1st cell: axis velocity at peak [m/s]</v>
      </c>
      <c r="B23" s="9" t="n">
        <f aca="false">IFERROR((Coarse_values!C23-Coarse_values!B23)/ABS(Coarse_values!B23),"")</f>
        <v>0.00180517573520496</v>
      </c>
      <c r="C23" s="9" t="n">
        <f aca="false">IFERROR((Coarse_values!D23-Coarse_values!C23)/ABS(Coarse_values!C23),"")</f>
        <v>0.00197225397252296</v>
      </c>
      <c r="D23" s="9" t="n">
        <f aca="false">IFERROR((Coarse_values!E23-Coarse_values!D23)/ABS(Coarse_values!D23),"")</f>
        <v>0.00207573758024465</v>
      </c>
      <c r="E23" s="9" t="n">
        <f aca="false">IFERROR((Coarse_values!F23-Coarse_values!E23)/ABS(Coarse_values!E23),"")</f>
        <v>0.0021517953205149</v>
      </c>
      <c r="F23" s="9" t="n">
        <f aca="false">IFERROR((Coarse_values!G23-Coarse_values!F23)/ABS(Coarse_values!F23),"")</f>
        <v>0.00203135231934994</v>
      </c>
      <c r="G23" s="9" t="n">
        <f aca="false">IFERROR((Coarse_values!H23-Coarse_values!G23)/ABS(Coarse_values!G23),"")</f>
        <v>0.0019649946429445</v>
      </c>
    </row>
    <row r="24" customFormat="false" ht="15" hidden="false" customHeight="false" outlineLevel="0" collapsed="false">
      <c r="A24" s="2" t="str">
        <f aca="false">Coarse_values!A24</f>
        <v>Plume 1st cell: end (closing shock) x [m]</v>
      </c>
      <c r="B24" s="9" t="n">
        <f aca="false">IFERROR((Coarse_values!C24-Coarse_values!B24)/ABS(Coarse_values!B24),"")</f>
        <v>0.053658217015858</v>
      </c>
      <c r="C24" s="9" t="n">
        <f aca="false">IFERROR((Coarse_values!D24-Coarse_values!C24)/ABS(Coarse_values!C24),"")</f>
        <v>0.0215923928249449</v>
      </c>
      <c r="D24" s="9" t="n">
        <f aca="false">IFERROR((Coarse_values!E24-Coarse_values!D24)/ABS(Coarse_values!D24),"")</f>
        <v>0.0346738685964794</v>
      </c>
      <c r="E24" s="9" t="n">
        <f aca="false">IFERROR((Coarse_values!F24-Coarse_values!E24)/ABS(Coarse_values!E24),"")</f>
        <v>0.00965045145731012</v>
      </c>
      <c r="F24" s="9" t="n">
        <f aca="false">IFERROR((Coarse_values!G24-Coarse_values!F24)/ABS(Coarse_values!F24),"")</f>
        <v>0.024858629516482</v>
      </c>
      <c r="G24" s="9" t="n">
        <f aca="false">IFERROR((Coarse_values!H24-Coarse_values!G24)/ABS(Coarse_values!G24),"")</f>
        <v>0.00778973921694023</v>
      </c>
    </row>
    <row r="25" customFormat="false" ht="15" hidden="false" customHeight="false" outlineLevel="0" collapsed="false">
      <c r="A25" s="2" t="str">
        <f aca="false">Coarse_values!A25</f>
        <v>Plume 1st cell: length from lip [m]</v>
      </c>
      <c r="B25" s="9" t="n">
        <f aca="false">IFERROR((Coarse_values!C25-Coarse_values!B25)/ABS(Coarse_values!B25),"")</f>
        <v>0.139073128800501</v>
      </c>
      <c r="C25" s="9" t="n">
        <f aca="false">IFERROR((Coarse_values!D25-Coarse_values!C25)/ABS(Coarse_values!C25),"")</f>
        <v>0.0517673473950956</v>
      </c>
      <c r="D25" s="9" t="n">
        <f aca="false">IFERROR((Coarse_values!E25-Coarse_values!D25)/ABS(Coarse_values!D25),"")</f>
        <v>0.0807449564851519</v>
      </c>
      <c r="E25" s="9" t="n">
        <f aca="false">IFERROR((Coarse_values!F25-Coarse_values!E25)/ABS(Coarse_values!E25),"")</f>
        <v>0.0215149826240901</v>
      </c>
      <c r="F25" s="9" t="n">
        <f aca="false">IFERROR((Coarse_values!G25-Coarse_values!F25)/ABS(Coarse_values!F25),"")</f>
        <v>0.054776824757488</v>
      </c>
      <c r="G25" s="9" t="n">
        <f aca="false">IFERROR((Coarse_values!H25-Coarse_values!G25)/ABS(Coarse_values!G25),"")</f>
        <v>0.0166780769815913</v>
      </c>
    </row>
    <row r="26" customFormat="false" ht="15" hidden="false" customHeight="false" outlineLevel="0" collapsed="false">
      <c r="A26" s="2" t="str">
        <f aca="false">Coarse_values!A26</f>
        <v>Plume 1st cell: axis Mach behind closing shock [-]</v>
      </c>
      <c r="B26" s="9" t="n">
        <f aca="false">IFERROR((Coarse_values!C26-Coarse_values!B26)/ABS(Coarse_values!B26),"")</f>
        <v>-0.00949253838170562</v>
      </c>
      <c r="C26" s="9" t="n">
        <f aca="false">IFERROR((Coarse_values!D26-Coarse_values!C26)/ABS(Coarse_values!C26),"")</f>
        <v>-0.00688730117151863</v>
      </c>
      <c r="D26" s="9" t="n">
        <f aca="false">IFERROR((Coarse_values!E26-Coarse_values!D26)/ABS(Coarse_values!D26),"")</f>
        <v>-0.00879047917888833</v>
      </c>
      <c r="E26" s="9" t="n">
        <f aca="false">IFERROR((Coarse_values!F26-Coarse_values!E26)/ABS(Coarse_values!E26),"")</f>
        <v>-0.00982731093208052</v>
      </c>
      <c r="F26" s="9" t="n">
        <f aca="false">IFERROR((Coarse_values!G26-Coarse_values!F26)/ABS(Coarse_values!F26),"")</f>
        <v>-0.00299784081326287</v>
      </c>
      <c r="G26" s="9" t="n">
        <f aca="false">IFERROR((Coarse_values!H26-Coarse_values!G26)/ABS(Coarse_values!G26),"")</f>
        <v>0.0052190077843617</v>
      </c>
    </row>
    <row r="27" customFormat="false" ht="15" hidden="false" customHeight="false" outlineLevel="0" collapsed="false">
      <c r="A27" s="2" t="str">
        <f aca="false">Coarse_values!A27</f>
        <v>Plume 1st cell: axis pressure behind closing shock [Pa]</v>
      </c>
      <c r="B27" s="9" t="n">
        <f aca="false">IFERROR((Coarse_values!C27-Coarse_values!B27)/ABS(Coarse_values!B27),"")</f>
        <v>0.0888574741167138</v>
      </c>
      <c r="C27" s="9" t="n">
        <f aca="false">IFERROR((Coarse_values!D27-Coarse_values!C27)/ABS(Coarse_values!C27),"")</f>
        <v>0.0606932366924148</v>
      </c>
      <c r="D27" s="9" t="n">
        <f aca="false">IFERROR((Coarse_values!E27-Coarse_values!D27)/ABS(Coarse_values!D27),"")</f>
        <v>0.056018351370629</v>
      </c>
      <c r="E27" s="9" t="n">
        <f aca="false">IFERROR((Coarse_values!F27-Coarse_values!E27)/ABS(Coarse_values!E27),"")</f>
        <v>0.0542016719131106</v>
      </c>
      <c r="F27" s="9" t="n">
        <f aca="false">IFERROR((Coarse_values!G27-Coarse_values!F27)/ABS(Coarse_values!F27),"")</f>
        <v>0.0131938539421385</v>
      </c>
      <c r="G27" s="9" t="n">
        <f aca="false">IFERROR((Coarse_values!H27-Coarse_values!G27)/ABS(Coarse_values!G27),"")</f>
        <v>-0.00948157747842346</v>
      </c>
    </row>
    <row r="28" customFormat="false" ht="15" hidden="false" customHeight="false" outlineLevel="0" collapsed="false">
      <c r="A28" s="2" t="str">
        <f aca="false">Coarse_values!A28</f>
        <v>Plume 1st cell: axis temperature behind closing shock [K]</v>
      </c>
      <c r="B28" s="9" t="n">
        <f aca="false">IFERROR((Coarse_values!C28-Coarse_values!B28)/ABS(Coarse_values!B28),"")</f>
        <v>0.0127638626800595</v>
      </c>
      <c r="C28" s="9" t="n">
        <f aca="false">IFERROR((Coarse_values!D28-Coarse_values!C28)/ABS(Coarse_values!C28),"")</f>
        <v>0.00848879733358013</v>
      </c>
      <c r="D28" s="9" t="n">
        <f aca="false">IFERROR((Coarse_values!E28-Coarse_values!D28)/ABS(Coarse_values!D28),"")</f>
        <v>0.00899686142653045</v>
      </c>
      <c r="E28" s="9" t="n">
        <f aca="false">IFERROR((Coarse_values!F28-Coarse_values!E28)/ABS(Coarse_values!E28),"")</f>
        <v>0.00971845482823522</v>
      </c>
      <c r="F28" s="9" t="n">
        <f aca="false">IFERROR((Coarse_values!G28-Coarse_values!F28)/ABS(Coarse_values!F28),"")</f>
        <v>0.000839152962378919</v>
      </c>
      <c r="G28" s="9" t="n">
        <f aca="false">IFERROR((Coarse_values!H28-Coarse_values!G28)/ABS(Coarse_values!G28),"")</f>
        <v>-0.00427102735370742</v>
      </c>
    </row>
    <row r="29" customFormat="false" ht="15" hidden="false" customHeight="false" outlineLevel="0" collapsed="false">
      <c r="A29" s="2" t="str">
        <f aca="false">Coarse_values!A29</f>
        <v>Plume 1st cell: axis density behind closing shock [kg/m3]</v>
      </c>
      <c r="B29" s="9" t="n">
        <f aca="false">IFERROR((Coarse_values!C29-Coarse_values!B29)/ABS(Coarse_values!B29),"")</f>
        <v>0.0751407940259993</v>
      </c>
      <c r="C29" s="9" t="n">
        <f aca="false">IFERROR((Coarse_values!D29-Coarse_values!C29)/ABS(Coarse_values!C29),"")</f>
        <v>0.0517607265313687</v>
      </c>
      <c r="D29" s="9" t="n">
        <f aca="false">IFERROR((Coarse_values!E29-Coarse_values!D29)/ABS(Coarse_values!D29),"")</f>
        <v>0.0466031692886502</v>
      </c>
      <c r="E29" s="9" t="n">
        <f aca="false">IFERROR((Coarse_values!F29-Coarse_values!E29)/ABS(Coarse_values!E29),"")</f>
        <v>0.0440544766899792</v>
      </c>
      <c r="F29" s="9" t="n">
        <f aca="false">IFERROR((Coarse_values!G29-Coarse_values!F29)/ABS(Coarse_values!F29),"")</f>
        <v>0.0123450070655208</v>
      </c>
      <c r="G29" s="9" t="n">
        <f aca="false">IFERROR((Coarse_values!H29-Coarse_values!G29)/ABS(Coarse_values!G29),"")</f>
        <v>-0.00523501826979547</v>
      </c>
    </row>
    <row r="30" customFormat="false" ht="15" hidden="false" customHeight="false" outlineLevel="0" collapsed="false">
      <c r="A30" s="2" t="str">
        <f aca="false">Coarse_values!A30</f>
        <v>Plume 1st cell: pressure ratio across closing shock [-]</v>
      </c>
      <c r="B30" s="9" t="n">
        <f aca="false">IFERROR((Coarse_values!C30-Coarse_values!B30)/ABS(Coarse_values!B30),"")</f>
        <v>0.103941038638307</v>
      </c>
      <c r="C30" s="9" t="n">
        <f aca="false">IFERROR((Coarse_values!D30-Coarse_values!C30)/ABS(Coarse_values!C30),"")</f>
        <v>0.0826567391991384</v>
      </c>
      <c r="D30" s="9" t="n">
        <f aca="false">IFERROR((Coarse_values!E30-Coarse_values!D30)/ABS(Coarse_values!D30),"")</f>
        <v>0.08564842819231</v>
      </c>
      <c r="E30" s="9" t="n">
        <f aca="false">IFERROR((Coarse_values!F30-Coarse_values!E30)/ABS(Coarse_values!E30),"")</f>
        <v>0.0880833397066875</v>
      </c>
      <c r="F30" s="9" t="n">
        <f aca="false">IFERROR((Coarse_values!G30-Coarse_values!F30)/ABS(Coarse_values!F30),"")</f>
        <v>0.0454004084674016</v>
      </c>
      <c r="G30" s="9" t="n">
        <f aca="false">IFERROR((Coarse_values!H30-Coarse_values!G30)/ABS(Coarse_values!G30),"")</f>
        <v>0.022256271764621</v>
      </c>
    </row>
    <row r="31" customFormat="false" ht="15" hidden="false" customHeight="false" outlineLevel="0" collapsed="false">
      <c r="A31" s="2" t="str">
        <f aca="false">Coarse_values!A31</f>
        <v>Final relative residual [-]</v>
      </c>
      <c r="B31" s="9" t="n">
        <f aca="false">IFERROR((Coarse_values!C31-Coarse_values!B31)/ABS(Coarse_values!B31),"")</f>
        <v>0.280307889672867</v>
      </c>
      <c r="C31" s="9" t="n">
        <f aca="false">IFERROR((Coarse_values!D31-Coarse_values!C31)/ABS(Coarse_values!C31),"")</f>
        <v>-0.999499148296593</v>
      </c>
      <c r="D31" s="9" t="n">
        <f aca="false">IFERROR((Coarse_values!E31-Coarse_values!D31)/ABS(Coarse_values!D31),"")</f>
        <v>14.074522356707</v>
      </c>
      <c r="E31" s="9" t="n">
        <f aca="false">IFERROR((Coarse_values!F31-Coarse_values!E31)/ABS(Coarse_values!E31),"")</f>
        <v>14.4213669542137</v>
      </c>
      <c r="F31" s="9" t="n">
        <f aca="false">IFERROR((Coarse_values!G31-Coarse_values!F31)/ABS(Coarse_values!F31),"")</f>
        <v>2.98881239242685</v>
      </c>
      <c r="G31" s="9" t="n">
        <f aca="false">IFERROR((Coarse_values!H31-Coarse_values!G31)/ABS(Coarse_values!G31),"")</f>
        <v>0.190938511326861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53</v>
      </c>
    </row>
    <row r="3" customFormat="false" ht="15" hidden="false" customHeight="false" outlineLevel="0" collapsed="false">
      <c r="A3" s="4" t="s">
        <v>54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customFormat="false" ht="15" hidden="false" customHeight="false" outlineLevel="0" collapsed="false">
      <c r="A4" s="2" t="s">
        <v>55</v>
      </c>
      <c r="B4" s="10" t="n">
        <v>0.1791</v>
      </c>
      <c r="C4" s="10" t="n">
        <v>0.1464</v>
      </c>
      <c r="D4" s="10" t="n">
        <v>0.1211</v>
      </c>
      <c r="E4" s="10" t="n">
        <v>0.1039</v>
      </c>
      <c r="F4" s="10" t="n">
        <v>0.0885</v>
      </c>
      <c r="G4" s="10" t="n">
        <v>0.0769</v>
      </c>
    </row>
    <row r="5" customFormat="false" ht="15" hidden="false" customHeight="false" outlineLevel="0" collapsed="false">
      <c r="A5" s="2" t="s">
        <v>56</v>
      </c>
      <c r="B5" s="10" t="n">
        <v>0.2117</v>
      </c>
      <c r="C5" s="10" t="n">
        <v>0.17</v>
      </c>
      <c r="D5" s="10" t="n">
        <v>0.1394</v>
      </c>
      <c r="E5" s="10" t="n">
        <v>0.1069</v>
      </c>
      <c r="F5" s="10" t="n">
        <v>0.101</v>
      </c>
      <c r="G5" s="10" t="n">
        <v>0.0871</v>
      </c>
    </row>
    <row r="6" customFormat="false" ht="15" hidden="false" customHeight="false" outlineLevel="0" collapsed="false">
      <c r="A6" s="2" t="s">
        <v>57</v>
      </c>
      <c r="B6" s="10" t="n">
        <v>0.208</v>
      </c>
      <c r="C6" s="10" t="n">
        <v>0.1693</v>
      </c>
      <c r="D6" s="10" t="n">
        <v>0.1401</v>
      </c>
      <c r="E6" s="10" t="n">
        <v>0.1175</v>
      </c>
      <c r="F6" s="10" t="n">
        <v>0.1022</v>
      </c>
      <c r="G6" s="10" t="n">
        <v>0.0887</v>
      </c>
    </row>
    <row r="7" customFormat="false" ht="15" hidden="false" customHeight="false" outlineLevel="0" collapsed="false">
      <c r="A7" s="2" t="s">
        <v>58</v>
      </c>
      <c r="B7" s="10" t="n">
        <v>0.2307</v>
      </c>
      <c r="C7" s="10" t="n">
        <v>0.1845</v>
      </c>
      <c r="D7" s="10" t="n">
        <v>0.1511</v>
      </c>
      <c r="E7" s="10" t="n">
        <v>0.115</v>
      </c>
      <c r="F7" s="10" t="n">
        <v>0.1095</v>
      </c>
      <c r="G7" s="10" t="n">
        <v>0.0943</v>
      </c>
    </row>
    <row r="8" customFormat="false" ht="15" hidden="false" customHeight="false" outlineLevel="0" collapsed="false">
      <c r="A8" s="2" t="s">
        <v>59</v>
      </c>
      <c r="B8" s="10" t="n">
        <v>0.1544</v>
      </c>
      <c r="C8" s="10" t="n">
        <v>0.1253</v>
      </c>
      <c r="D8" s="10" t="n">
        <v>0.1032</v>
      </c>
      <c r="E8" s="10" t="n">
        <v>0.0866</v>
      </c>
      <c r="F8" s="10" t="n">
        <v>0.0749</v>
      </c>
      <c r="G8" s="10" t="n">
        <v>0.065</v>
      </c>
    </row>
    <row r="9" customFormat="false" ht="15" hidden="false" customHeight="false" outlineLevel="0" collapsed="false">
      <c r="A9" s="2" t="s">
        <v>60</v>
      </c>
      <c r="B9" s="10" t="n">
        <v>1.3867</v>
      </c>
      <c r="C9" s="10" t="n">
        <v>1.1173</v>
      </c>
      <c r="D9" s="10" t="n">
        <v>0.8931</v>
      </c>
      <c r="E9" s="10" t="n">
        <v>0.7842</v>
      </c>
      <c r="F9" s="10" t="n">
        <v>0.6088</v>
      </c>
      <c r="G9" s="10" t="n">
        <v>0.5429</v>
      </c>
    </row>
    <row r="10" customFormat="false" ht="15" hidden="false" customHeight="false" outlineLevel="0" collapsed="false">
      <c r="A10" s="2" t="s">
        <v>61</v>
      </c>
      <c r="B10" s="10" t="n">
        <v>0.6646</v>
      </c>
      <c r="C10" s="10" t="n">
        <v>0.5125</v>
      </c>
      <c r="D10" s="10" t="n">
        <v>0.4049</v>
      </c>
      <c r="E10" s="10" t="n">
        <v>0.3475</v>
      </c>
      <c r="F10" s="10" t="n">
        <v>0.3879</v>
      </c>
      <c r="G10" s="10" t="n">
        <v>0.2743</v>
      </c>
    </row>
    <row r="11" customFormat="false" ht="15" hidden="false" customHeight="false" outlineLevel="0" collapsed="false">
      <c r="A11" s="2" t="s">
        <v>62</v>
      </c>
      <c r="B11" s="10" t="n">
        <v>1.1815</v>
      </c>
      <c r="C11" s="10" t="n">
        <v>0.9976</v>
      </c>
      <c r="D11" s="10" t="n">
        <v>0.8103</v>
      </c>
      <c r="E11" s="10" t="n">
        <v>0.7179</v>
      </c>
      <c r="F11" s="10" t="n">
        <v>0.6263</v>
      </c>
      <c r="G11" s="10" t="n">
        <v>0.5885</v>
      </c>
    </row>
    <row r="12" customFormat="false" ht="15" hidden="false" customHeight="false" outlineLevel="0" collapsed="false">
      <c r="A12" s="2" t="s">
        <v>63</v>
      </c>
      <c r="B12" s="10" t="n">
        <v>0.782</v>
      </c>
      <c r="C12" s="10" t="n">
        <v>0.7053</v>
      </c>
      <c r="D12" s="10" t="n">
        <v>0.6394</v>
      </c>
      <c r="E12" s="10" t="n">
        <v>0.6011</v>
      </c>
      <c r="F12" s="10" t="n">
        <v>0.4959</v>
      </c>
      <c r="G12" s="10" t="n">
        <v>0.5659</v>
      </c>
    </row>
    <row r="13" customFormat="false" ht="15" hidden="false" customHeight="false" outlineLevel="0" collapsed="false">
      <c r="A13" s="2" t="s">
        <v>64</v>
      </c>
      <c r="B13" s="10" t="n">
        <v>1.1795</v>
      </c>
      <c r="C13" s="10" t="n">
        <v>0.9432</v>
      </c>
      <c r="D13" s="10" t="n">
        <v>0.7307</v>
      </c>
      <c r="E13" s="10" t="n">
        <v>0.6382</v>
      </c>
      <c r="F13" s="10" t="n">
        <v>0.5092</v>
      </c>
      <c r="G13" s="10" t="n">
        <v>0.4576</v>
      </c>
    </row>
    <row r="14" customFormat="false" ht="15" hidden="false" customHeight="false" outlineLevel="0" collapsed="false">
      <c r="A14" s="2" t="s">
        <v>65</v>
      </c>
      <c r="B14" s="10" t="n">
        <v>1.0608</v>
      </c>
      <c r="C14" s="10" t="n">
        <v>0.899</v>
      </c>
      <c r="D14" s="10" t="n">
        <v>0.8277</v>
      </c>
      <c r="E14" s="10" t="n">
        <v>1.2399</v>
      </c>
      <c r="F14" s="10" t="n">
        <v>3.0749</v>
      </c>
      <c r="G14" s="10" t="n">
        <v>2.3148</v>
      </c>
    </row>
    <row r="15" customFormat="false" ht="15" hidden="false" customHeight="false" outlineLevel="0" collapsed="false">
      <c r="A15" s="2" t="s">
        <v>66</v>
      </c>
      <c r="B15" s="10" t="n">
        <v>0.6064</v>
      </c>
      <c r="C15" s="10" t="n">
        <v>0.5007</v>
      </c>
      <c r="D15" s="10" t="n">
        <v>0.4853</v>
      </c>
      <c r="E15" s="10" t="n">
        <v>1.1613</v>
      </c>
      <c r="F15" s="10" t="n">
        <v>2.3593</v>
      </c>
      <c r="G15" s="10" t="n">
        <v>2.3116</v>
      </c>
    </row>
    <row r="16" customFormat="false" ht="15" hidden="false" customHeight="false" outlineLevel="0" collapsed="false">
      <c r="A16" s="2" t="s">
        <v>67</v>
      </c>
      <c r="B16" s="10" t="n">
        <v>0.9442</v>
      </c>
      <c r="C16" s="10" t="n">
        <v>0.8387</v>
      </c>
      <c r="D16" s="10" t="n">
        <v>0.863</v>
      </c>
      <c r="E16" s="10" t="n">
        <v>1.6515</v>
      </c>
      <c r="F16" s="10" t="n">
        <v>4.002</v>
      </c>
      <c r="G16" s="10" t="n">
        <v>3.3777</v>
      </c>
    </row>
    <row r="17" customFormat="false" ht="15" hidden="false" customHeight="false" outlineLevel="0" collapsed="false">
      <c r="A17" s="2" t="s">
        <v>68</v>
      </c>
      <c r="B17" s="10" t="n">
        <v>1.0864</v>
      </c>
      <c r="C17" s="10" t="n">
        <v>1.0005</v>
      </c>
      <c r="D17" s="10" t="n">
        <v>1.1878</v>
      </c>
      <c r="E17" s="10" t="n">
        <v>2.6547</v>
      </c>
      <c r="F17" s="10" t="n">
        <v>7.2341</v>
      </c>
      <c r="G17" s="10" t="n">
        <v>4.9216</v>
      </c>
    </row>
    <row r="18" customFormat="false" ht="15" hidden="false" customHeight="false" outlineLevel="0" collapsed="false">
      <c r="A18" s="2" t="s">
        <v>69</v>
      </c>
      <c r="B18" s="10" t="n">
        <v>1.0109</v>
      </c>
      <c r="C18" s="10" t="n">
        <v>0.8467</v>
      </c>
      <c r="D18" s="10" t="n">
        <v>0.7729</v>
      </c>
      <c r="E18" s="10" t="n">
        <v>1.257</v>
      </c>
      <c r="F18" s="10" t="n">
        <v>3.0013</v>
      </c>
      <c r="G18" s="10" t="n">
        <v>2.357</v>
      </c>
    </row>
    <row r="20" customFormat="false" ht="15" hidden="false" customHeight="false" outlineLevel="0" collapsed="false">
      <c r="A20" s="8" t="s">
        <v>70</v>
      </c>
    </row>
    <row r="21" customFormat="false" ht="15" hidden="false" customHeight="false" outlineLevel="0" collapsed="false">
      <c r="A21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72</v>
      </c>
    </row>
    <row r="3" customFormat="false" ht="23.85" hidden="false" customHeight="false" outlineLevel="0" collapsed="false">
      <c r="A3" s="4" t="s">
        <v>9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80</v>
      </c>
    </row>
    <row r="4" customFormat="false" ht="15" hidden="false" customHeight="false" outlineLevel="0" collapsed="false">
      <c r="A4" s="2" t="s">
        <v>17</v>
      </c>
      <c r="B4" s="5" t="n">
        <v>14355</v>
      </c>
      <c r="C4" s="5" t="n">
        <v>17700</v>
      </c>
      <c r="D4" s="5" t="n">
        <v>21395</v>
      </c>
      <c r="E4" s="5" t="n">
        <v>25500</v>
      </c>
      <c r="F4" s="5" t="n">
        <v>29900</v>
      </c>
      <c r="G4" s="5" t="n">
        <v>34720</v>
      </c>
      <c r="H4" s="5" t="n">
        <v>39825</v>
      </c>
      <c r="I4" s="5" t="n">
        <v>45280</v>
      </c>
    </row>
    <row r="5" customFormat="false" ht="15" hidden="false" customHeight="false" outlineLevel="0" collapsed="false">
      <c r="A5" s="2" t="s">
        <v>18</v>
      </c>
      <c r="B5" s="6" t="n">
        <v>2338.37</v>
      </c>
      <c r="C5" s="6" t="n">
        <v>2343.09</v>
      </c>
      <c r="D5" s="6" t="n">
        <v>2347.07</v>
      </c>
      <c r="E5" s="6" t="n">
        <v>2350.47</v>
      </c>
      <c r="F5" s="6" t="n">
        <v>2353.4</v>
      </c>
      <c r="G5" s="6" t="n">
        <v>2355.95</v>
      </c>
      <c r="H5" s="6" t="n">
        <v>2358.19</v>
      </c>
      <c r="I5" s="6" t="n">
        <v>2360.17</v>
      </c>
    </row>
    <row r="6" customFormat="false" ht="15" hidden="false" customHeight="false" outlineLevel="0" collapsed="false">
      <c r="A6" s="2" t="s">
        <v>19</v>
      </c>
      <c r="B6" s="6" t="n">
        <v>2331.76</v>
      </c>
      <c r="C6" s="6" t="n">
        <v>2337.68</v>
      </c>
      <c r="D6" s="6" t="n">
        <v>2343.17</v>
      </c>
      <c r="E6" s="6" t="n">
        <v>2348.77</v>
      </c>
      <c r="F6" s="6" t="n">
        <v>2349.13</v>
      </c>
      <c r="G6" s="6" t="n">
        <v>2348.01</v>
      </c>
      <c r="H6" s="6" t="n">
        <v>2351.31</v>
      </c>
      <c r="I6" s="6" t="n">
        <v>2358.39</v>
      </c>
    </row>
    <row r="7" customFormat="false" ht="15" hidden="false" customHeight="false" outlineLevel="0" collapsed="false">
      <c r="A7" s="2" t="s">
        <v>20</v>
      </c>
      <c r="B7" s="6" t="n">
        <v>4578560</v>
      </c>
      <c r="C7" s="6" t="n">
        <v>4588110</v>
      </c>
      <c r="D7" s="6" t="n">
        <v>4596240</v>
      </c>
      <c r="E7" s="6" t="n">
        <v>4603120</v>
      </c>
      <c r="F7" s="6" t="n">
        <v>4608610</v>
      </c>
      <c r="G7" s="6" t="n">
        <v>4614050</v>
      </c>
      <c r="H7" s="6" t="n">
        <v>4618610</v>
      </c>
      <c r="I7" s="6" t="n">
        <v>4622340</v>
      </c>
    </row>
    <row r="8" customFormat="false" ht="15" hidden="false" customHeight="false" outlineLevel="0" collapsed="false">
      <c r="A8" s="2" t="s">
        <v>21</v>
      </c>
      <c r="B8" s="6" t="n">
        <v>4517550</v>
      </c>
      <c r="C8" s="6" t="n">
        <v>4533820</v>
      </c>
      <c r="D8" s="6" t="n">
        <v>4547600</v>
      </c>
      <c r="E8" s="6" t="n">
        <v>4561950</v>
      </c>
      <c r="F8" s="6" t="n">
        <v>4570780</v>
      </c>
      <c r="G8" s="6" t="n">
        <v>4566120</v>
      </c>
      <c r="H8" s="6" t="n">
        <v>4574160</v>
      </c>
      <c r="I8" s="6" t="n">
        <v>4594940</v>
      </c>
    </row>
    <row r="9" customFormat="false" ht="15" hidden="false" customHeight="false" outlineLevel="0" collapsed="false">
      <c r="A9" s="2" t="s">
        <v>22</v>
      </c>
      <c r="B9" s="6" t="n">
        <v>197.559</v>
      </c>
      <c r="C9" s="6" t="n">
        <v>197.769</v>
      </c>
      <c r="D9" s="6" t="n">
        <v>197.905</v>
      </c>
      <c r="E9" s="6" t="n">
        <v>198.056</v>
      </c>
      <c r="F9" s="6" t="n">
        <v>198.409</v>
      </c>
      <c r="G9" s="6" t="n">
        <v>198.302</v>
      </c>
      <c r="H9" s="6" t="n">
        <v>198.373</v>
      </c>
      <c r="I9" s="6" t="n">
        <v>198.675</v>
      </c>
    </row>
    <row r="10" customFormat="false" ht="15" hidden="false" customHeight="false" outlineLevel="0" collapsed="false">
      <c r="A10" s="2" t="s">
        <v>23</v>
      </c>
      <c r="B10" s="6" t="n">
        <v>0.957049</v>
      </c>
      <c r="C10" s="6" t="n">
        <v>0.959477</v>
      </c>
      <c r="D10" s="6" t="n">
        <v>0.961733</v>
      </c>
      <c r="E10" s="6" t="n">
        <v>0.964031</v>
      </c>
      <c r="F10" s="6" t="n">
        <v>0.964178</v>
      </c>
      <c r="G10" s="6" t="n">
        <v>0.963718</v>
      </c>
      <c r="H10" s="6" t="n">
        <v>0.96507</v>
      </c>
      <c r="I10" s="6" t="n">
        <v>0.967978</v>
      </c>
    </row>
    <row r="11" customFormat="false" ht="15" hidden="false" customHeight="false" outlineLevel="0" collapsed="false">
      <c r="A11" s="2" t="s">
        <v>24</v>
      </c>
      <c r="B11" s="6" t="n">
        <v>3.718</v>
      </c>
      <c r="C11" s="6" t="n">
        <v>3.749</v>
      </c>
      <c r="D11" s="6" t="n">
        <v>3.777</v>
      </c>
      <c r="E11" s="6" t="n">
        <v>3.802</v>
      </c>
      <c r="F11" s="6" t="n">
        <v>3.825</v>
      </c>
      <c r="G11" s="6" t="n">
        <v>3.846</v>
      </c>
      <c r="H11" s="6" t="n">
        <v>3.864</v>
      </c>
      <c r="I11" s="6" t="n">
        <v>3.88</v>
      </c>
    </row>
    <row r="12" customFormat="false" ht="15" hidden="false" customHeight="false" outlineLevel="0" collapsed="false">
      <c r="A12" s="2" t="s">
        <v>25</v>
      </c>
      <c r="B12" s="6" t="n">
        <v>943.1</v>
      </c>
      <c r="C12" s="6" t="n">
        <v>931.8</v>
      </c>
      <c r="D12" s="6" t="n">
        <v>921.6</v>
      </c>
      <c r="E12" s="6" t="n">
        <v>912.5</v>
      </c>
      <c r="F12" s="6" t="n">
        <v>904.4</v>
      </c>
      <c r="G12" s="6" t="n">
        <v>897.3</v>
      </c>
      <c r="H12" s="6" t="n">
        <v>890.9</v>
      </c>
      <c r="I12" s="6" t="n">
        <v>885.3</v>
      </c>
    </row>
    <row r="13" customFormat="false" ht="15" hidden="false" customHeight="false" outlineLevel="0" collapsed="false">
      <c r="A13" s="2" t="s">
        <v>26</v>
      </c>
      <c r="B13" s="6" t="n">
        <v>21259</v>
      </c>
      <c r="C13" s="6" t="n">
        <v>20399</v>
      </c>
      <c r="D13" s="6" t="n">
        <v>19640</v>
      </c>
      <c r="E13" s="6" t="n">
        <v>18974</v>
      </c>
      <c r="F13" s="6" t="n">
        <v>18393</v>
      </c>
      <c r="G13" s="6" t="n">
        <v>17887</v>
      </c>
      <c r="H13" s="6" t="n">
        <v>17449</v>
      </c>
      <c r="I13" s="6" t="n">
        <v>17069</v>
      </c>
    </row>
    <row r="14" customFormat="false" ht="15" hidden="false" customHeight="false" outlineLevel="0" collapsed="false">
      <c r="A14" s="2" t="s">
        <v>27</v>
      </c>
      <c r="B14" s="6" t="n">
        <v>2240.7</v>
      </c>
      <c r="C14" s="6" t="n">
        <v>2246.5</v>
      </c>
      <c r="D14" s="6" t="n">
        <v>2251.7</v>
      </c>
      <c r="E14" s="6" t="n">
        <v>2256.4</v>
      </c>
      <c r="F14" s="6" t="n">
        <v>2260.5</v>
      </c>
      <c r="G14" s="6" t="n">
        <v>2264.2</v>
      </c>
      <c r="H14" s="6" t="n">
        <v>2267.4</v>
      </c>
      <c r="I14" s="6" t="n">
        <v>2270.2</v>
      </c>
    </row>
    <row r="15" customFormat="false" ht="15" hidden="false" customHeight="false" outlineLevel="0" collapsed="false">
      <c r="A15" s="2" t="s">
        <v>28</v>
      </c>
      <c r="B15" s="6" t="n">
        <v>0.0785283</v>
      </c>
      <c r="C15" s="6" t="n">
        <v>0.0762646</v>
      </c>
      <c r="D15" s="6" t="n">
        <v>0.0742361</v>
      </c>
      <c r="E15" s="6" t="n">
        <v>0.072434</v>
      </c>
      <c r="F15" s="6" t="n">
        <v>0.0708432</v>
      </c>
      <c r="G15" s="6" t="n">
        <v>0.0694478</v>
      </c>
      <c r="H15" s="6" t="n">
        <v>0.0682281</v>
      </c>
      <c r="I15" s="6" t="n">
        <v>0.0671645</v>
      </c>
    </row>
    <row r="16" customFormat="false" ht="15" hidden="false" customHeight="false" outlineLevel="0" collapsed="false">
      <c r="A16" s="2" t="s">
        <v>29</v>
      </c>
      <c r="B16" s="6" t="n">
        <v>3.086</v>
      </c>
      <c r="C16" s="6" t="n">
        <v>3.092</v>
      </c>
      <c r="D16" s="6" t="n">
        <v>3.095</v>
      </c>
      <c r="E16" s="6" t="n">
        <v>3.098</v>
      </c>
      <c r="F16" s="6" t="n">
        <v>3.111</v>
      </c>
      <c r="G16" s="6" t="n">
        <v>3.107</v>
      </c>
      <c r="H16" s="6" t="n">
        <v>3.109</v>
      </c>
      <c r="I16" s="6" t="n">
        <v>3.117</v>
      </c>
    </row>
    <row r="17" customFormat="false" ht="15" hidden="false" customHeight="false" outlineLevel="0" collapsed="false">
      <c r="A17" s="2" t="s">
        <v>30</v>
      </c>
      <c r="B17" s="6" t="n">
        <v>0.82068</v>
      </c>
      <c r="C17" s="6" t="n">
        <v>0.81972</v>
      </c>
      <c r="D17" s="6" t="n">
        <v>0.81895</v>
      </c>
      <c r="E17" s="6" t="n">
        <v>0.8183</v>
      </c>
      <c r="F17" s="6" t="n">
        <v>0.81776</v>
      </c>
      <c r="G17" s="6" t="n">
        <v>0.81729</v>
      </c>
      <c r="H17" s="6" t="n">
        <v>0.81689</v>
      </c>
      <c r="I17" s="6" t="n">
        <v>0.81652</v>
      </c>
    </row>
    <row r="18" customFormat="false" ht="15" hidden="false" customHeight="false" outlineLevel="0" collapsed="false">
      <c r="A18" s="2" t="s">
        <v>31</v>
      </c>
      <c r="B18" s="6" t="n">
        <v>3.22963</v>
      </c>
      <c r="C18" s="6" t="n">
        <v>3.2063</v>
      </c>
      <c r="D18" s="6" t="n">
        <v>3.22982</v>
      </c>
      <c r="E18" s="6" t="n">
        <v>3.2103</v>
      </c>
      <c r="F18" s="6" t="n">
        <v>3.22992</v>
      </c>
      <c r="G18" s="6" t="n">
        <v>3.24676</v>
      </c>
      <c r="H18" s="6" t="n">
        <v>3.26145</v>
      </c>
      <c r="I18" s="6" t="n">
        <v>3.27435</v>
      </c>
    </row>
    <row r="19" customFormat="false" ht="15" hidden="false" customHeight="false" outlineLevel="0" collapsed="false">
      <c r="A19" s="2" t="s">
        <v>32</v>
      </c>
      <c r="B19" s="6" t="n">
        <v>3.75274</v>
      </c>
      <c r="C19" s="6" t="n">
        <v>3.78373</v>
      </c>
      <c r="D19" s="6" t="n">
        <v>3.81442</v>
      </c>
      <c r="E19" s="6" t="n">
        <v>3.84365</v>
      </c>
      <c r="F19" s="6" t="n">
        <v>3.87209</v>
      </c>
      <c r="G19" s="6" t="n">
        <v>3.89911</v>
      </c>
      <c r="H19" s="6" t="n">
        <v>3.9249</v>
      </c>
      <c r="I19" s="6" t="n">
        <v>3.94954</v>
      </c>
    </row>
    <row r="20" customFormat="false" ht="15" hidden="false" customHeight="false" outlineLevel="0" collapsed="false">
      <c r="A20" s="2" t="s">
        <v>33</v>
      </c>
      <c r="B20" s="6" t="n">
        <v>20090</v>
      </c>
      <c r="C20" s="6" t="n">
        <v>19291.1</v>
      </c>
      <c r="D20" s="6" t="n">
        <v>18502.8</v>
      </c>
      <c r="E20" s="6" t="n">
        <v>17785.8</v>
      </c>
      <c r="F20" s="6" t="n">
        <v>17100.2</v>
      </c>
      <c r="G20" s="6" t="n">
        <v>16471.3</v>
      </c>
      <c r="H20" s="6" t="n">
        <v>15891.6</v>
      </c>
      <c r="I20" s="6" t="n">
        <v>15355.8</v>
      </c>
    </row>
    <row r="21" customFormat="false" ht="15" hidden="false" customHeight="false" outlineLevel="0" collapsed="false">
      <c r="A21" s="2" t="s">
        <v>34</v>
      </c>
      <c r="B21" s="6" t="n">
        <v>930.178</v>
      </c>
      <c r="C21" s="6" t="n">
        <v>919.032</v>
      </c>
      <c r="D21" s="6" t="n">
        <v>908.164</v>
      </c>
      <c r="E21" s="6" t="n">
        <v>897.917</v>
      </c>
      <c r="F21" s="6" t="n">
        <v>888.094</v>
      </c>
      <c r="G21" s="6" t="n">
        <v>878.875</v>
      </c>
      <c r="H21" s="6" t="n">
        <v>870.178</v>
      </c>
      <c r="I21" s="6" t="n">
        <v>861.955</v>
      </c>
    </row>
    <row r="22" customFormat="false" ht="15" hidden="false" customHeight="false" outlineLevel="0" collapsed="false">
      <c r="A22" s="2" t="s">
        <v>35</v>
      </c>
      <c r="B22" s="6" t="n">
        <v>0.0752402</v>
      </c>
      <c r="C22" s="6" t="n">
        <v>0.0731242</v>
      </c>
      <c r="D22" s="6" t="n">
        <v>0.0709755</v>
      </c>
      <c r="E22" s="6" t="n">
        <v>0.0690037</v>
      </c>
      <c r="F22" s="6" t="n">
        <v>0.0670773</v>
      </c>
      <c r="G22" s="6" t="n">
        <v>0.0652885</v>
      </c>
      <c r="H22" s="6" t="n">
        <v>0.0636203</v>
      </c>
      <c r="I22" s="6" t="n">
        <v>0.0620617</v>
      </c>
    </row>
    <row r="23" customFormat="false" ht="15" hidden="false" customHeight="false" outlineLevel="0" collapsed="false">
      <c r="A23" s="2" t="s">
        <v>36</v>
      </c>
      <c r="B23" s="6" t="n">
        <v>2247.24</v>
      </c>
      <c r="C23" s="6" t="n">
        <v>2252.95</v>
      </c>
      <c r="D23" s="6" t="n">
        <v>2258.51</v>
      </c>
      <c r="E23" s="6" t="n">
        <v>2263.68</v>
      </c>
      <c r="F23" s="6" t="n">
        <v>2268.64</v>
      </c>
      <c r="G23" s="6" t="n">
        <v>2273.26</v>
      </c>
      <c r="H23" s="6" t="n">
        <v>2277.6</v>
      </c>
      <c r="I23" s="6" t="n">
        <v>2281.67</v>
      </c>
    </row>
    <row r="24" customFormat="false" ht="15" hidden="false" customHeight="false" outlineLevel="0" collapsed="false">
      <c r="A24" s="2" t="s">
        <v>37</v>
      </c>
      <c r="B24" s="6" t="n">
        <v>5.56295</v>
      </c>
      <c r="C24" s="6" t="n">
        <v>5.66258</v>
      </c>
      <c r="D24" s="6" t="n">
        <v>5.74543</v>
      </c>
      <c r="E24" s="6" t="n">
        <v>5.80752</v>
      </c>
      <c r="F24" s="6" t="n">
        <v>5.9224</v>
      </c>
      <c r="G24" s="6" t="n">
        <v>5.91261</v>
      </c>
      <c r="H24" s="6" t="n">
        <v>5.95846</v>
      </c>
      <c r="I24" s="6" t="n">
        <v>6.0441</v>
      </c>
    </row>
    <row r="25" customFormat="false" ht="15" hidden="false" customHeight="false" outlineLevel="0" collapsed="false">
      <c r="A25" s="2" t="s">
        <v>38</v>
      </c>
      <c r="B25" s="6" t="n">
        <v>2.56295</v>
      </c>
      <c r="C25" s="6" t="n">
        <v>2.66258</v>
      </c>
      <c r="D25" s="6" t="n">
        <v>2.74543</v>
      </c>
      <c r="E25" s="6" t="n">
        <v>2.80752</v>
      </c>
      <c r="F25" s="6" t="n">
        <v>2.9224</v>
      </c>
      <c r="G25" s="6" t="n">
        <v>2.91261</v>
      </c>
      <c r="H25" s="6" t="n">
        <v>2.95846</v>
      </c>
      <c r="I25" s="6" t="n">
        <v>3.0441</v>
      </c>
    </row>
    <row r="26" customFormat="false" ht="15" hidden="false" customHeight="false" outlineLevel="0" collapsed="false">
      <c r="A26" s="2" t="s">
        <v>39</v>
      </c>
      <c r="B26" s="6" t="n">
        <v>2.14085</v>
      </c>
      <c r="C26" s="6" t="n">
        <v>2.09848</v>
      </c>
      <c r="D26" s="6" t="n">
        <v>2.04405</v>
      </c>
      <c r="E26" s="6" t="n">
        <v>2.18084</v>
      </c>
      <c r="F26" s="6" t="n">
        <v>1.92594</v>
      </c>
      <c r="G26" s="6" t="n">
        <v>2.20397</v>
      </c>
      <c r="H26" s="6" t="n">
        <v>2.17181</v>
      </c>
      <c r="I26" s="6" t="n">
        <v>1.68892</v>
      </c>
    </row>
    <row r="27" customFormat="false" ht="15" hidden="false" customHeight="false" outlineLevel="0" collapsed="false">
      <c r="A27" s="2" t="s">
        <v>40</v>
      </c>
      <c r="B27" s="6" t="n">
        <v>262728</v>
      </c>
      <c r="C27" s="6" t="n">
        <v>286337</v>
      </c>
      <c r="D27" s="6" t="n">
        <v>316668</v>
      </c>
      <c r="E27" s="6" t="n">
        <v>256293</v>
      </c>
      <c r="F27" s="6" t="n">
        <v>393530</v>
      </c>
      <c r="G27" s="6" t="n">
        <v>248650</v>
      </c>
      <c r="H27" s="6" t="n">
        <v>266615</v>
      </c>
      <c r="I27" s="6" t="n">
        <v>537056</v>
      </c>
    </row>
    <row r="28" customFormat="false" ht="15" hidden="false" customHeight="false" outlineLevel="0" collapsed="false">
      <c r="A28" s="2" t="s">
        <v>41</v>
      </c>
      <c r="B28" s="6" t="n">
        <v>1787.36</v>
      </c>
      <c r="C28" s="6" t="n">
        <v>1820.61</v>
      </c>
      <c r="D28" s="6" t="n">
        <v>1862.83</v>
      </c>
      <c r="E28" s="6" t="n">
        <v>1766.03</v>
      </c>
      <c r="F28" s="6" t="n">
        <v>1960.37</v>
      </c>
      <c r="G28" s="6" t="n">
        <v>1750.7</v>
      </c>
      <c r="H28" s="6" t="n">
        <v>1779.48</v>
      </c>
      <c r="I28" s="6" t="n">
        <v>2125.78</v>
      </c>
    </row>
    <row r="29" customFormat="false" ht="15" hidden="false" customHeight="false" outlineLevel="0" collapsed="false">
      <c r="A29" s="2" t="s">
        <v>42</v>
      </c>
      <c r="B29" s="6" t="n">
        <v>0.512069</v>
      </c>
      <c r="C29" s="6" t="n">
        <v>0.547452</v>
      </c>
      <c r="D29" s="6" t="n">
        <v>0.591365</v>
      </c>
      <c r="E29" s="6" t="n">
        <v>0.505561</v>
      </c>
      <c r="F29" s="6" t="n">
        <v>0.69689</v>
      </c>
      <c r="G29" s="6" t="n">
        <v>0.494779</v>
      </c>
      <c r="H29" s="6" t="n">
        <v>0.520661</v>
      </c>
      <c r="I29" s="6" t="n">
        <v>0.879923</v>
      </c>
    </row>
    <row r="30" customFormat="false" ht="15" hidden="false" customHeight="false" outlineLevel="0" collapsed="false">
      <c r="A30" s="2" t="s">
        <v>43</v>
      </c>
      <c r="B30" s="6" t="n">
        <v>13.0775510204082</v>
      </c>
      <c r="C30" s="6" t="n">
        <v>14.8429586700603</v>
      </c>
      <c r="D30" s="6" t="n">
        <v>17.1145988715222</v>
      </c>
      <c r="E30" s="6" t="n">
        <v>14.4099787470904</v>
      </c>
      <c r="F30" s="6" t="n">
        <v>23.0131811323844</v>
      </c>
      <c r="G30" s="6" t="n">
        <v>15.0959547819541</v>
      </c>
      <c r="H30" s="6" t="n">
        <v>16.7771023685469</v>
      </c>
      <c r="I30" s="6" t="n">
        <v>34.9741465765379</v>
      </c>
    </row>
    <row r="31" customFormat="false" ht="15" hidden="false" customHeight="false" outlineLevel="0" collapsed="false">
      <c r="A31" s="2" t="s">
        <v>44</v>
      </c>
      <c r="B31" s="7" t="n">
        <v>0.003008</v>
      </c>
      <c r="C31" s="7" t="n">
        <v>0.01504</v>
      </c>
      <c r="D31" s="7" t="n">
        <v>0.01945</v>
      </c>
      <c r="E31" s="7" t="n">
        <v>0.0125</v>
      </c>
      <c r="F31" s="7" t="n">
        <v>0.0259</v>
      </c>
      <c r="G31" s="7" t="n">
        <v>0.01695</v>
      </c>
      <c r="H31" s="7" t="n">
        <v>0.01991</v>
      </c>
      <c r="I31" s="7" t="n">
        <v>0.03359</v>
      </c>
    </row>
    <row r="33" customFormat="false" ht="15" hidden="false" customHeight="false" outlineLevel="0" collapsed="false">
      <c r="A3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81</v>
      </c>
    </row>
    <row r="3" customFormat="false" ht="15" hidden="false" customHeight="false" outlineLevel="0" collapsed="false">
      <c r="A3" s="4" t="s">
        <v>9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82</v>
      </c>
      <c r="G3" s="4" t="s">
        <v>83</v>
      </c>
      <c r="H3" s="4" t="s">
        <v>84</v>
      </c>
    </row>
    <row r="4" customFormat="false" ht="15" hidden="false" customHeight="false" outlineLevel="0" collapsed="false">
      <c r="A4" s="2" t="str">
        <f aca="false">Fine_values!A4</f>
        <v>Cells [-]</v>
      </c>
      <c r="B4" s="9" t="n">
        <f aca="false">IFERROR((Fine_values!C4-Fine_values!B4)/ABS(Fine_values!B4),"")</f>
        <v>0.233019853709509</v>
      </c>
      <c r="C4" s="9" t="n">
        <f aca="false">IFERROR((Fine_values!D4-Fine_values!C4)/ABS(Fine_values!C4),"")</f>
        <v>0.208757062146893</v>
      </c>
      <c r="D4" s="9" t="n">
        <f aca="false">IFERROR((Fine_values!E4-Fine_values!D4)/ABS(Fine_values!D4),"")</f>
        <v>0.191867258705305</v>
      </c>
      <c r="E4" s="9" t="n">
        <f aca="false">IFERROR((Fine_values!F4-Fine_values!E4)/ABS(Fine_values!E4),"")</f>
        <v>0.172549019607843</v>
      </c>
      <c r="F4" s="9" t="n">
        <f aca="false">IFERROR((Fine_values!G4-Fine_values!F4)/ABS(Fine_values!F4),"")</f>
        <v>0.161204013377926</v>
      </c>
      <c r="G4" s="9" t="n">
        <f aca="false">IFERROR((Fine_values!H4-Fine_values!G4)/ABS(Fine_values!G4),"")</f>
        <v>0.147033410138249</v>
      </c>
      <c r="H4" s="9" t="n">
        <f aca="false">IFERROR((Fine_values!I4-Fine_values!H4)/ABS(Fine_values!H4),"")</f>
        <v>0.136974262397991</v>
      </c>
    </row>
    <row r="5" customFormat="false" ht="15" hidden="false" customHeight="false" outlineLevel="0" collapsed="false">
      <c r="A5" s="2" t="str">
        <f aca="false">Fine_values!A5</f>
        <v>Mass flow, inlet [kg/s]</v>
      </c>
      <c r="B5" s="9" t="n">
        <f aca="false">IFERROR((Fine_values!C5-Fine_values!B5)/ABS(Fine_values!B5),"")</f>
        <v>0.0020185000662856</v>
      </c>
      <c r="C5" s="9" t="n">
        <f aca="false">IFERROR((Fine_values!D5-Fine_values!C5)/ABS(Fine_values!C5),"")</f>
        <v>0.00169861166237747</v>
      </c>
      <c r="D5" s="9" t="n">
        <f aca="false">IFERROR((Fine_values!E5-Fine_values!D5)/ABS(Fine_values!D5),"")</f>
        <v>0.00144861465571953</v>
      </c>
      <c r="E5" s="9" t="n">
        <f aca="false">IFERROR((Fine_values!F5-Fine_values!E5)/ABS(Fine_values!E5),"")</f>
        <v>0.00124655919879866</v>
      </c>
      <c r="F5" s="9" t="n">
        <f aca="false">IFERROR((Fine_values!G5-Fine_values!F5)/ABS(Fine_values!F5),"")</f>
        <v>0.00108353870995144</v>
      </c>
      <c r="G5" s="9" t="n">
        <f aca="false">IFERROR((Fine_values!H5-Fine_values!G5)/ABS(Fine_values!G5),"")</f>
        <v>0.000950784184723885</v>
      </c>
      <c r="H5" s="9" t="n">
        <f aca="false">IFERROR((Fine_values!I5-Fine_values!H5)/ABS(Fine_values!H5),"")</f>
        <v>0.000839627002065151</v>
      </c>
    </row>
    <row r="6" customFormat="false" ht="15" hidden="false" customHeight="false" outlineLevel="0" collapsed="false">
      <c r="A6" s="2" t="str">
        <f aca="false">Fine_values!A6</f>
        <v>Mass flow, exit plane [kg/s]</v>
      </c>
      <c r="B6" s="9" t="n">
        <f aca="false">IFERROR((Fine_values!C6-Fine_values!B6)/ABS(Fine_values!B6),"")</f>
        <v>0.00253885477064519</v>
      </c>
      <c r="C6" s="9" t="n">
        <f aca="false">IFERROR((Fine_values!D6-Fine_values!C6)/ABS(Fine_values!C6),"")</f>
        <v>0.00234848225591195</v>
      </c>
      <c r="D6" s="9" t="n">
        <f aca="false">IFERROR((Fine_values!E6-Fine_values!D6)/ABS(Fine_values!D6),"")</f>
        <v>0.00238992476004725</v>
      </c>
      <c r="E6" s="9" t="n">
        <f aca="false">IFERROR((Fine_values!F6-Fine_values!E6)/ABS(Fine_values!E6),"")</f>
        <v>0.000153271712428261</v>
      </c>
      <c r="F6" s="9" t="n">
        <f aca="false">IFERROR((Fine_values!G6-Fine_values!F6)/ABS(Fine_values!F6),"")</f>
        <v>-0.000476772251854896</v>
      </c>
      <c r="G6" s="9" t="n">
        <f aca="false">IFERROR((Fine_values!H6-Fine_values!G6)/ABS(Fine_values!G6),"")</f>
        <v>0.00140544546232756</v>
      </c>
      <c r="H6" s="9" t="n">
        <f aca="false">IFERROR((Fine_values!I6-Fine_values!H6)/ABS(Fine_values!H6),"")</f>
        <v>0.00301108743636523</v>
      </c>
    </row>
    <row r="7" customFormat="false" ht="15" hidden="false" customHeight="false" outlineLevel="0" collapsed="false">
      <c r="A7" s="2" t="str">
        <f aca="false">Fine_values!A7</f>
        <v>Thrust, wall-pressure method [N]</v>
      </c>
      <c r="B7" s="9" t="n">
        <f aca="false">IFERROR((Fine_values!C7-Fine_values!B7)/ABS(Fine_values!B7),"")</f>
        <v>0.0020858086385239</v>
      </c>
      <c r="C7" s="9" t="n">
        <f aca="false">IFERROR((Fine_values!D7-Fine_values!C7)/ABS(Fine_values!C7),"")</f>
        <v>0.00177197146537463</v>
      </c>
      <c r="D7" s="9" t="n">
        <f aca="false">IFERROR((Fine_values!E7-Fine_values!D7)/ABS(Fine_values!D7),"")</f>
        <v>0.00149687570709972</v>
      </c>
      <c r="E7" s="9" t="n">
        <f aca="false">IFERROR((Fine_values!F7-Fine_values!E7)/ABS(Fine_values!E7),"")</f>
        <v>0.00119266931993952</v>
      </c>
      <c r="F7" s="9" t="n">
        <f aca="false">IFERROR((Fine_values!G7-Fine_values!F7)/ABS(Fine_values!F7),"")</f>
        <v>0.00118039929610013</v>
      </c>
      <c r="G7" s="9" t="n">
        <f aca="false">IFERROR((Fine_values!H7-Fine_values!G7)/ABS(Fine_values!G7),"")</f>
        <v>0.000988285779304516</v>
      </c>
      <c r="H7" s="9" t="n">
        <f aca="false">IFERROR((Fine_values!I7-Fine_values!H7)/ABS(Fine_values!H7),"")</f>
        <v>0.000807602287268247</v>
      </c>
    </row>
    <row r="8" customFormat="false" ht="15" hidden="false" customHeight="false" outlineLevel="0" collapsed="false">
      <c r="A8" s="2" t="str">
        <f aca="false">Fine_values!A8</f>
        <v>Thrust, exit-plane method [N]</v>
      </c>
      <c r="B8" s="9" t="n">
        <f aca="false">IFERROR((Fine_values!C8-Fine_values!B8)/ABS(Fine_values!B8),"")</f>
        <v>0.00360150966785094</v>
      </c>
      <c r="C8" s="9" t="n">
        <f aca="false">IFERROR((Fine_values!D8-Fine_values!C8)/ABS(Fine_values!C8),"")</f>
        <v>0.00303937959601396</v>
      </c>
      <c r="D8" s="9" t="n">
        <f aca="false">IFERROR((Fine_values!E8-Fine_values!D8)/ABS(Fine_values!D8),"")</f>
        <v>0.00315551059899727</v>
      </c>
      <c r="E8" s="9" t="n">
        <f aca="false">IFERROR((Fine_values!F8-Fine_values!E8)/ABS(Fine_values!E8),"")</f>
        <v>0.00193557579543835</v>
      </c>
      <c r="F8" s="9" t="n">
        <f aca="false">IFERROR((Fine_values!G8-Fine_values!F8)/ABS(Fine_values!F8),"")</f>
        <v>-0.00101951964434954</v>
      </c>
      <c r="G8" s="9" t="n">
        <f aca="false">IFERROR((Fine_values!H8-Fine_values!G8)/ABS(Fine_values!G8),"")</f>
        <v>0.00176079472287194</v>
      </c>
      <c r="H8" s="9" t="n">
        <f aca="false">IFERROR((Fine_values!I8-Fine_values!H8)/ABS(Fine_values!H8),"")</f>
        <v>0.00454291061090998</v>
      </c>
    </row>
    <row r="9" customFormat="false" ht="15" hidden="false" customHeight="false" outlineLevel="0" collapsed="false">
      <c r="A9" s="2" t="str">
        <f aca="false">Fine_values!A9</f>
        <v>Specific impulse Isp [s]</v>
      </c>
      <c r="B9" s="9" t="n">
        <f aca="false">IFERROR((Fine_values!C9-Fine_values!B9)/ABS(Fine_values!B9),"")</f>
        <v>0.00106297359269893</v>
      </c>
      <c r="C9" s="9" t="n">
        <f aca="false">IFERROR((Fine_values!D9-Fine_values!C9)/ABS(Fine_values!C9),"")</f>
        <v>0.000687670969666609</v>
      </c>
      <c r="D9" s="9" t="n">
        <f aca="false">IFERROR((Fine_values!E9-Fine_values!D9)/ABS(Fine_values!D9),"")</f>
        <v>0.000762992344811958</v>
      </c>
      <c r="E9" s="9" t="n">
        <f aca="false">IFERROR((Fine_values!F9-Fine_values!E9)/ABS(Fine_values!E9),"")</f>
        <v>0.00178232419113776</v>
      </c>
      <c r="F9" s="9" t="n">
        <f aca="false">IFERROR((Fine_values!G9-Fine_values!F9)/ABS(Fine_values!F9),"")</f>
        <v>-0.000539290052366573</v>
      </c>
      <c r="G9" s="9" t="n">
        <f aca="false">IFERROR((Fine_values!H9-Fine_values!G9)/ABS(Fine_values!G9),"")</f>
        <v>0.000358039757541517</v>
      </c>
      <c r="H9" s="9" t="n">
        <f aca="false">IFERROR((Fine_values!I9-Fine_values!H9)/ABS(Fine_values!H9),"")</f>
        <v>0.00152238459871062</v>
      </c>
    </row>
    <row r="10" customFormat="false" ht="15" hidden="false" customHeight="false" outlineLevel="0" collapsed="false">
      <c r="A10" s="2" t="str">
        <f aca="false">Fine_values!A10</f>
        <v>Discharge coefficient Cd [-]</v>
      </c>
      <c r="B10" s="9" t="n">
        <f aca="false">IFERROR((Fine_values!C10-Fine_values!B10)/ABS(Fine_values!B10),"")</f>
        <v>0.00253696519195985</v>
      </c>
      <c r="C10" s="9" t="n">
        <f aca="false">IFERROR((Fine_values!D10-Fine_values!C10)/ABS(Fine_values!C10),"")</f>
        <v>0.00235128095827198</v>
      </c>
      <c r="D10" s="9" t="n">
        <f aca="false">IFERROR((Fine_values!E10-Fine_values!D10)/ABS(Fine_values!D10),"")</f>
        <v>0.00238943656919334</v>
      </c>
      <c r="E10" s="9" t="n">
        <f aca="false">IFERROR((Fine_values!F10-Fine_values!E10)/ABS(Fine_values!E10),"")</f>
        <v>0.000152484723001655</v>
      </c>
      <c r="F10" s="9" t="n">
        <f aca="false">IFERROR((Fine_values!G10-Fine_values!F10)/ABS(Fine_values!F10),"")</f>
        <v>-0.000477090329793893</v>
      </c>
      <c r="G10" s="9" t="n">
        <f aca="false">IFERROR((Fine_values!H10-Fine_values!G10)/ABS(Fine_values!G10),"")</f>
        <v>0.00140290001847015</v>
      </c>
      <c r="H10" s="9" t="n">
        <f aca="false">IFERROR((Fine_values!I10-Fine_values!H10)/ABS(Fine_values!H10),"")</f>
        <v>0.00301325292465834</v>
      </c>
    </row>
    <row r="11" customFormat="false" ht="15" hidden="false" customHeight="false" outlineLevel="0" collapsed="false">
      <c r="A11" s="2" t="str">
        <f aca="false">Fine_values!A11</f>
        <v>Exit-axis Mach [-]</v>
      </c>
      <c r="B11" s="9" t="n">
        <f aca="false">IFERROR((Fine_values!C11-Fine_values!B11)/ABS(Fine_values!B11),"")</f>
        <v>0.00833781603012376</v>
      </c>
      <c r="C11" s="9" t="n">
        <f aca="false">IFERROR((Fine_values!D11-Fine_values!C11)/ABS(Fine_values!C11),"")</f>
        <v>0.00746865830888238</v>
      </c>
      <c r="D11" s="9" t="n">
        <f aca="false">IFERROR((Fine_values!E11-Fine_values!D11)/ABS(Fine_values!D11),"")</f>
        <v>0.00661900979613448</v>
      </c>
      <c r="E11" s="9" t="n">
        <f aca="false">IFERROR((Fine_values!F11-Fine_values!E11)/ABS(Fine_values!E11),"")</f>
        <v>0.00604944765912681</v>
      </c>
      <c r="F11" s="9" t="n">
        <f aca="false">IFERROR((Fine_values!G11-Fine_values!F11)/ABS(Fine_values!F11),"")</f>
        <v>0.00549019607843135</v>
      </c>
      <c r="G11" s="9" t="n">
        <f aca="false">IFERROR((Fine_values!H11-Fine_values!G11)/ABS(Fine_values!G11),"")</f>
        <v>0.00468018720748825</v>
      </c>
      <c r="H11" s="9" t="n">
        <f aca="false">IFERROR((Fine_values!I11-Fine_values!H11)/ABS(Fine_values!H11),"")</f>
        <v>0.00414078674948241</v>
      </c>
    </row>
    <row r="12" customFormat="false" ht="15" hidden="false" customHeight="false" outlineLevel="0" collapsed="false">
      <c r="A12" s="2" t="str">
        <f aca="false">Fine_values!A12</f>
        <v>Exit-axis temperature [K]</v>
      </c>
      <c r="B12" s="9" t="n">
        <f aca="false">IFERROR((Fine_values!C12-Fine_values!B12)/ABS(Fine_values!B12),"")</f>
        <v>-0.0119817622733539</v>
      </c>
      <c r="C12" s="9" t="n">
        <f aca="false">IFERROR((Fine_values!D12-Fine_values!C12)/ABS(Fine_values!C12),"")</f>
        <v>-0.0109465550547327</v>
      </c>
      <c r="D12" s="9" t="n">
        <f aca="false">IFERROR((Fine_values!E12-Fine_values!D12)/ABS(Fine_values!D12),"")</f>
        <v>-0.00987413194444447</v>
      </c>
      <c r="E12" s="9" t="n">
        <f aca="false">IFERROR((Fine_values!F12-Fine_values!E12)/ABS(Fine_values!E12),"")</f>
        <v>-0.00887671232876715</v>
      </c>
      <c r="F12" s="9" t="n">
        <f aca="false">IFERROR((Fine_values!G12-Fine_values!F12)/ABS(Fine_values!F12),"")</f>
        <v>-0.00785050862450246</v>
      </c>
      <c r="G12" s="9" t="n">
        <f aca="false">IFERROR((Fine_values!H12-Fine_values!G12)/ABS(Fine_values!G12),"")</f>
        <v>-0.00713250863702215</v>
      </c>
      <c r="H12" s="9" t="n">
        <f aca="false">IFERROR((Fine_values!I12-Fine_values!H12)/ABS(Fine_values!H12),"")</f>
        <v>-0.0062857784263105</v>
      </c>
    </row>
    <row r="13" customFormat="false" ht="15" hidden="false" customHeight="false" outlineLevel="0" collapsed="false">
      <c r="A13" s="2" t="str">
        <f aca="false">Fine_values!A13</f>
        <v>Exit-axis pressure [Pa]</v>
      </c>
      <c r="B13" s="9" t="n">
        <f aca="false">IFERROR((Fine_values!C13-Fine_values!B13)/ABS(Fine_values!B13),"")</f>
        <v>-0.040453455007291</v>
      </c>
      <c r="C13" s="9" t="n">
        <f aca="false">IFERROR((Fine_values!D13-Fine_values!C13)/ABS(Fine_values!C13),"")</f>
        <v>-0.0372077062601108</v>
      </c>
      <c r="D13" s="9" t="n">
        <f aca="false">IFERROR((Fine_values!E13-Fine_values!D13)/ABS(Fine_values!D13),"")</f>
        <v>-0.0339103869653768</v>
      </c>
      <c r="E13" s="9" t="n">
        <f aca="false">IFERROR((Fine_values!F13-Fine_values!E13)/ABS(Fine_values!E13),"")</f>
        <v>-0.0306208495836408</v>
      </c>
      <c r="F13" s="9" t="n">
        <f aca="false">IFERROR((Fine_values!G13-Fine_values!F13)/ABS(Fine_values!F13),"")</f>
        <v>-0.0275104659381286</v>
      </c>
      <c r="G13" s="9" t="n">
        <f aca="false">IFERROR((Fine_values!H13-Fine_values!G13)/ABS(Fine_values!G13),"")</f>
        <v>-0.0244870576396265</v>
      </c>
      <c r="H13" s="9" t="n">
        <f aca="false">IFERROR((Fine_values!I13-Fine_values!H13)/ABS(Fine_values!H13),"")</f>
        <v>-0.0217777523067224</v>
      </c>
    </row>
    <row r="14" customFormat="false" ht="15" hidden="false" customHeight="false" outlineLevel="0" collapsed="false">
      <c r="A14" s="2" t="str">
        <f aca="false">Fine_values!A14</f>
        <v>Exit-axis velocity [m/s]</v>
      </c>
      <c r="B14" s="9" t="n">
        <f aca="false">IFERROR((Fine_values!C14-Fine_values!B14)/ABS(Fine_values!B14),"")</f>
        <v>0.00258847681528102</v>
      </c>
      <c r="C14" s="9" t="n">
        <f aca="false">IFERROR((Fine_values!D14-Fine_values!C14)/ABS(Fine_values!C14),"")</f>
        <v>0.00231471177387038</v>
      </c>
      <c r="D14" s="9" t="n">
        <f aca="false">IFERROR((Fine_values!E14-Fine_values!D14)/ABS(Fine_values!D14),"")</f>
        <v>0.00208731180885565</v>
      </c>
      <c r="E14" s="9" t="n">
        <f aca="false">IFERROR((Fine_values!F14-Fine_values!E14)/ABS(Fine_values!E14),"")</f>
        <v>0.00181705371388048</v>
      </c>
      <c r="F14" s="9" t="n">
        <f aca="false">IFERROR((Fine_values!G14-Fine_values!F14)/ABS(Fine_values!F14),"")</f>
        <v>0.00163680601636798</v>
      </c>
      <c r="G14" s="9" t="n">
        <f aca="false">IFERROR((Fine_values!H14-Fine_values!G14)/ABS(Fine_values!G14),"")</f>
        <v>0.0014133027117747</v>
      </c>
      <c r="H14" s="9" t="n">
        <f aca="false">IFERROR((Fine_values!I14-Fine_values!H14)/ABS(Fine_values!H14),"")</f>
        <v>0.0012348945929257</v>
      </c>
    </row>
    <row r="15" customFormat="false" ht="15" hidden="false" customHeight="false" outlineLevel="0" collapsed="false">
      <c r="A15" s="2" t="str">
        <f aca="false">Fine_values!A15</f>
        <v>Exit-axis density [kg/m3]</v>
      </c>
      <c r="B15" s="9" t="n">
        <f aca="false">IFERROR((Fine_values!C15-Fine_values!B15)/ABS(Fine_values!B15),"")</f>
        <v>-0.0288265504283168</v>
      </c>
      <c r="C15" s="9" t="n">
        <f aca="false">IFERROR((Fine_values!D15-Fine_values!C15)/ABS(Fine_values!C15),"")</f>
        <v>-0.0265981857899996</v>
      </c>
      <c r="D15" s="9" t="n">
        <f aca="false">IFERROR((Fine_values!E15-Fine_values!D15)/ABS(Fine_values!D15),"")</f>
        <v>-0.024275251528569</v>
      </c>
      <c r="E15" s="9" t="n">
        <f aca="false">IFERROR((Fine_values!F15-Fine_values!E15)/ABS(Fine_values!E15),"")</f>
        <v>-0.0219620620150758</v>
      </c>
      <c r="F15" s="9" t="n">
        <f aca="false">IFERROR((Fine_values!G15-Fine_values!F15)/ABS(Fine_values!F15),"")</f>
        <v>-0.019697021026718</v>
      </c>
      <c r="G15" s="9" t="n">
        <f aca="false">IFERROR((Fine_values!H15-Fine_values!G15)/ABS(Fine_values!G15),"")</f>
        <v>-0.0175628313639886</v>
      </c>
      <c r="H15" s="9" t="n">
        <f aca="false">IFERROR((Fine_values!I15-Fine_values!H15)/ABS(Fine_values!H15),"")</f>
        <v>-0.0155888849315751</v>
      </c>
    </row>
    <row r="16" customFormat="false" ht="15" hidden="false" customHeight="false" outlineLevel="0" collapsed="false">
      <c r="A16" s="2" t="str">
        <f aca="false">Fine_values!A16</f>
        <v>Exit mass-averaged Mach [-]</v>
      </c>
      <c r="B16" s="9" t="n">
        <f aca="false">IFERROR((Fine_values!C16-Fine_values!B16)/ABS(Fine_values!B16),"")</f>
        <v>0.00194426441996119</v>
      </c>
      <c r="C16" s="9" t="n">
        <f aca="false">IFERROR((Fine_values!D16-Fine_values!C16)/ABS(Fine_values!C16),"")</f>
        <v>0.000970245795601589</v>
      </c>
      <c r="D16" s="9" t="n">
        <f aca="false">IFERROR((Fine_values!E16-Fine_values!D16)/ABS(Fine_values!D16),"")</f>
        <v>0.000969305331179215</v>
      </c>
      <c r="E16" s="9" t="n">
        <f aca="false">IFERROR((Fine_values!F16-Fine_values!E16)/ABS(Fine_values!E16),"")</f>
        <v>0.00419625564880579</v>
      </c>
      <c r="F16" s="9" t="n">
        <f aca="false">IFERROR((Fine_values!G16-Fine_values!F16)/ABS(Fine_values!F16),"")</f>
        <v>-0.00128576020572163</v>
      </c>
      <c r="G16" s="9" t="n">
        <f aca="false">IFERROR((Fine_values!H16-Fine_values!G16)/ABS(Fine_values!G16),"")</f>
        <v>0.000643707756678397</v>
      </c>
      <c r="H16" s="9" t="n">
        <f aca="false">IFERROR((Fine_values!I16-Fine_values!H16)/ABS(Fine_values!H16),"")</f>
        <v>0.00257317465422966</v>
      </c>
    </row>
    <row r="17" customFormat="false" ht="15" hidden="false" customHeight="false" outlineLevel="0" collapsed="false">
      <c r="A17" s="2" t="str">
        <f aca="false">Fine_values!A17</f>
        <v>Throat-axis Mach [-]</v>
      </c>
      <c r="B17" s="9" t="n">
        <f aca="false">IFERROR((Fine_values!C17-Fine_values!B17)/ABS(Fine_values!B17),"")</f>
        <v>-0.00116976166106151</v>
      </c>
      <c r="C17" s="9" t="n">
        <f aca="false">IFERROR((Fine_values!D17-Fine_values!C17)/ABS(Fine_values!C17),"")</f>
        <v>-0.000939345142243752</v>
      </c>
      <c r="D17" s="9" t="n">
        <f aca="false">IFERROR((Fine_values!E17-Fine_values!D17)/ABS(Fine_values!D17),"")</f>
        <v>-0.000793699249038316</v>
      </c>
      <c r="E17" s="9" t="n">
        <f aca="false">IFERROR((Fine_values!F17-Fine_values!E17)/ABS(Fine_values!E17),"")</f>
        <v>-0.00065990468043503</v>
      </c>
      <c r="F17" s="9" t="n">
        <f aca="false">IFERROR((Fine_values!G17-Fine_values!F17)/ABS(Fine_values!F17),"")</f>
        <v>-0.000574740755233909</v>
      </c>
      <c r="G17" s="9" t="n">
        <f aca="false">IFERROR((Fine_values!H17-Fine_values!G17)/ABS(Fine_values!G17),"")</f>
        <v>-0.000489422359260429</v>
      </c>
      <c r="H17" s="9" t="n">
        <f aca="false">IFERROR((Fine_values!I17-Fine_values!H17)/ABS(Fine_values!H17),"")</f>
        <v>-0.000452937359987246</v>
      </c>
    </row>
    <row r="18" customFormat="false" ht="15" hidden="false" customHeight="false" outlineLevel="0" collapsed="false">
      <c r="A18" s="2" t="str">
        <f aca="false">Fine_values!A18</f>
        <v>Plume 1st cell: x of axis Mach peak [m]</v>
      </c>
      <c r="B18" s="9" t="n">
        <f aca="false">IFERROR((Fine_values!C18-Fine_values!B18)/ABS(Fine_values!B18),"")</f>
        <v>-0.00722373770369969</v>
      </c>
      <c r="C18" s="9" t="n">
        <f aca="false">IFERROR((Fine_values!D18-Fine_values!C18)/ABS(Fine_values!C18),"")</f>
        <v>0.00733555811995134</v>
      </c>
      <c r="D18" s="9" t="n">
        <f aca="false">IFERROR((Fine_values!E18-Fine_values!D18)/ABS(Fine_values!D18),"")</f>
        <v>-0.00604368045278065</v>
      </c>
      <c r="E18" s="9" t="n">
        <f aca="false">IFERROR((Fine_values!F18-Fine_values!E18)/ABS(Fine_values!E18),"")</f>
        <v>0.0061115783571628</v>
      </c>
      <c r="F18" s="9" t="n">
        <f aca="false">IFERROR((Fine_values!G18-Fine_values!F18)/ABS(Fine_values!F18),"")</f>
        <v>0.00521375142418394</v>
      </c>
      <c r="G18" s="9" t="n">
        <f aca="false">IFERROR((Fine_values!H18-Fine_values!G18)/ABS(Fine_values!G18),"")</f>
        <v>0.00452451058901794</v>
      </c>
      <c r="H18" s="9" t="n">
        <f aca="false">IFERROR((Fine_values!I18-Fine_values!H18)/ABS(Fine_values!H18),"")</f>
        <v>0.00395529595731964</v>
      </c>
    </row>
    <row r="19" customFormat="false" ht="15" hidden="false" customHeight="false" outlineLevel="0" collapsed="false">
      <c r="A19" s="2" t="str">
        <f aca="false">Fine_values!A19</f>
        <v>Plume 1st cell: peak axis Mach [-]</v>
      </c>
      <c r="B19" s="9" t="n">
        <f aca="false">IFERROR((Fine_values!C19-Fine_values!B19)/ABS(Fine_values!B19),"")</f>
        <v>0.00825796617937817</v>
      </c>
      <c r="C19" s="9" t="n">
        <f aca="false">IFERROR((Fine_values!D19-Fine_values!C19)/ABS(Fine_values!C19),"")</f>
        <v>0.00811104386412358</v>
      </c>
      <c r="D19" s="9" t="n">
        <f aca="false">IFERROR((Fine_values!E19-Fine_values!D19)/ABS(Fine_values!D19),"")</f>
        <v>0.0076630260957104</v>
      </c>
      <c r="E19" s="9" t="n">
        <f aca="false">IFERROR((Fine_values!F19-Fine_values!E19)/ABS(Fine_values!E19),"")</f>
        <v>0.00739921689019558</v>
      </c>
      <c r="F19" s="9" t="n">
        <f aca="false">IFERROR((Fine_values!G19-Fine_values!F19)/ABS(Fine_values!F19),"")</f>
        <v>0.00697814358653849</v>
      </c>
      <c r="G19" s="9" t="n">
        <f aca="false">IFERROR((Fine_values!H19-Fine_values!G19)/ABS(Fine_values!G19),"")</f>
        <v>0.00661432993683179</v>
      </c>
      <c r="H19" s="9" t="n">
        <f aca="false">IFERROR((Fine_values!I19-Fine_values!H19)/ABS(Fine_values!H19),"")</f>
        <v>0.0062778669520242</v>
      </c>
    </row>
    <row r="20" customFormat="false" ht="15" hidden="false" customHeight="false" outlineLevel="0" collapsed="false">
      <c r="A20" s="2" t="str">
        <f aca="false">Fine_values!A20</f>
        <v>Plume 1st cell: axis pressure at peak [Pa]</v>
      </c>
      <c r="B20" s="9" t="n">
        <f aca="false">IFERROR((Fine_values!C20-Fine_values!B20)/ABS(Fine_values!B20),"")</f>
        <v>-0.0397660527625685</v>
      </c>
      <c r="C20" s="9" t="n">
        <f aca="false">IFERROR((Fine_values!D20-Fine_values!C20)/ABS(Fine_values!C20),"")</f>
        <v>-0.0408634033310697</v>
      </c>
      <c r="D20" s="9" t="n">
        <f aca="false">IFERROR((Fine_values!E20-Fine_values!D20)/ABS(Fine_values!D20),"")</f>
        <v>-0.0387508917569233</v>
      </c>
      <c r="E20" s="9" t="n">
        <f aca="false">IFERROR((Fine_values!F20-Fine_values!E20)/ABS(Fine_values!E20),"")</f>
        <v>-0.0385476053930663</v>
      </c>
      <c r="F20" s="9" t="n">
        <f aca="false">IFERROR((Fine_values!G20-Fine_values!F20)/ABS(Fine_values!F20),"")</f>
        <v>-0.0367773476333611</v>
      </c>
      <c r="G20" s="9" t="n">
        <f aca="false">IFERROR((Fine_values!H20-Fine_values!G20)/ABS(Fine_values!G20),"")</f>
        <v>-0.0351945505212096</v>
      </c>
      <c r="H20" s="9" t="n">
        <f aca="false">IFERROR((Fine_values!I20-Fine_values!H20)/ABS(Fine_values!H20),"")</f>
        <v>-0.0337159253945481</v>
      </c>
    </row>
    <row r="21" customFormat="false" ht="15" hidden="false" customHeight="false" outlineLevel="0" collapsed="false">
      <c r="A21" s="2" t="str">
        <f aca="false">Fine_values!A21</f>
        <v>Plume 1st cell: axis temperature at peak [K]</v>
      </c>
      <c r="B21" s="9" t="n">
        <f aca="false">IFERROR((Fine_values!C21-Fine_values!B21)/ABS(Fine_values!B21),"")</f>
        <v>-0.0119826527825857</v>
      </c>
      <c r="C21" s="9" t="n">
        <f aca="false">IFERROR((Fine_values!D21-Fine_values!C21)/ABS(Fine_values!C21),"")</f>
        <v>-0.0118254859460825</v>
      </c>
      <c r="D21" s="9" t="n">
        <f aca="false">IFERROR((Fine_values!E21-Fine_values!D21)/ABS(Fine_values!D21),"")</f>
        <v>-0.0112832043551605</v>
      </c>
      <c r="E21" s="9" t="n">
        <f aca="false">IFERROR((Fine_values!F21-Fine_values!E21)/ABS(Fine_values!E21),"")</f>
        <v>-0.0109397639202732</v>
      </c>
      <c r="F21" s="9" t="n">
        <f aca="false">IFERROR((Fine_values!G21-Fine_values!F21)/ABS(Fine_values!F21),"")</f>
        <v>-0.0103806579033301</v>
      </c>
      <c r="G21" s="9" t="n">
        <f aca="false">IFERROR((Fine_values!H21-Fine_values!G21)/ABS(Fine_values!G21),"")</f>
        <v>-0.00989560517707297</v>
      </c>
      <c r="H21" s="9" t="n">
        <f aca="false">IFERROR((Fine_values!I21-Fine_values!H21)/ABS(Fine_values!H21),"")</f>
        <v>-0.00944979073247078</v>
      </c>
    </row>
    <row r="22" customFormat="false" ht="15" hidden="false" customHeight="false" outlineLevel="0" collapsed="false">
      <c r="A22" s="2" t="str">
        <f aca="false">Fine_values!A22</f>
        <v>Plume 1st cell: axis density at peak [kg/m3]</v>
      </c>
      <c r="B22" s="9" t="n">
        <f aca="false">IFERROR((Fine_values!C22-Fine_values!B22)/ABS(Fine_values!B22),"")</f>
        <v>-0.0281232638935036</v>
      </c>
      <c r="C22" s="9" t="n">
        <f aca="false">IFERROR((Fine_values!D22-Fine_values!C22)/ABS(Fine_values!C22),"")</f>
        <v>-0.0293842530926835</v>
      </c>
      <c r="D22" s="9" t="n">
        <f aca="false">IFERROR((Fine_values!E22-Fine_values!D22)/ABS(Fine_values!D22),"")</f>
        <v>-0.0277814175314016</v>
      </c>
      <c r="E22" s="9" t="n">
        <f aca="false">IFERROR((Fine_values!F22-Fine_values!E22)/ABS(Fine_values!E22),"")</f>
        <v>-0.0279173435627364</v>
      </c>
      <c r="F22" s="9" t="n">
        <f aca="false">IFERROR((Fine_values!G22-Fine_values!F22)/ABS(Fine_values!F22),"")</f>
        <v>-0.0266677400551305</v>
      </c>
      <c r="G22" s="9" t="n">
        <f aca="false">IFERROR((Fine_values!H22-Fine_values!G22)/ABS(Fine_values!G22),"")</f>
        <v>-0.0255512073336038</v>
      </c>
      <c r="H22" s="9" t="n">
        <f aca="false">IFERROR((Fine_values!I22-Fine_values!H22)/ABS(Fine_values!H22),"")</f>
        <v>-0.0244984698280267</v>
      </c>
    </row>
    <row r="23" customFormat="false" ht="15" hidden="false" customHeight="false" outlineLevel="0" collapsed="false">
      <c r="A23" s="2" t="str">
        <f aca="false">Fine_values!A23</f>
        <v>Plume 1st cell: axis velocity at peak [m/s]</v>
      </c>
      <c r="B23" s="9" t="n">
        <f aca="false">IFERROR((Fine_values!C23-Fine_values!B23)/ABS(Fine_values!B23),"")</f>
        <v>0.00254089460849755</v>
      </c>
      <c r="C23" s="9" t="n">
        <f aca="false">IFERROR((Fine_values!D23-Fine_values!C23)/ABS(Fine_values!C23),"")</f>
        <v>0.00246787545218509</v>
      </c>
      <c r="D23" s="9" t="n">
        <f aca="false">IFERROR((Fine_values!E23-Fine_values!D23)/ABS(Fine_values!D23),"")</f>
        <v>0.00228911981793289</v>
      </c>
      <c r="E23" s="9" t="n">
        <f aca="false">IFERROR((Fine_values!F23-Fine_values!E23)/ABS(Fine_values!E23),"")</f>
        <v>0.00219112242013007</v>
      </c>
      <c r="F23" s="9" t="n">
        <f aca="false">IFERROR((Fine_values!G23-Fine_values!F23)/ABS(Fine_values!F23),"")</f>
        <v>0.00203646237393343</v>
      </c>
      <c r="G23" s="9" t="n">
        <f aca="false">IFERROR((Fine_values!H23-Fine_values!G23)/ABS(Fine_values!G23),"")</f>
        <v>0.00190915249465512</v>
      </c>
      <c r="H23" s="9" t="n">
        <f aca="false">IFERROR((Fine_values!I23-Fine_values!H23)/ABS(Fine_values!H23),"")</f>
        <v>0.00178696873902361</v>
      </c>
    </row>
    <row r="24" customFormat="false" ht="15" hidden="false" customHeight="false" outlineLevel="0" collapsed="false">
      <c r="A24" s="2" t="str">
        <f aca="false">Fine_values!A24</f>
        <v>Plume 1st cell: end (closing shock) x [m]</v>
      </c>
      <c r="B24" s="9" t="n">
        <f aca="false">IFERROR((Fine_values!C24-Fine_values!B24)/ABS(Fine_values!B24),"")</f>
        <v>0.0179095623724823</v>
      </c>
      <c r="C24" s="9" t="n">
        <f aca="false">IFERROR((Fine_values!D24-Fine_values!C24)/ABS(Fine_values!C24),"")</f>
        <v>0.0146311398691055</v>
      </c>
      <c r="D24" s="9" t="n">
        <f aca="false">IFERROR((Fine_values!E24-Fine_values!D24)/ABS(Fine_values!D24),"")</f>
        <v>0.010806849965973</v>
      </c>
      <c r="E24" s="9" t="n">
        <f aca="false">IFERROR((Fine_values!F24-Fine_values!E24)/ABS(Fine_values!E24),"")</f>
        <v>0.0197812491390472</v>
      </c>
      <c r="F24" s="9" t="n">
        <f aca="false">IFERROR((Fine_values!G24-Fine_values!F24)/ABS(Fine_values!F24),"")</f>
        <v>-0.00165304606240709</v>
      </c>
      <c r="G24" s="9" t="n">
        <f aca="false">IFERROR((Fine_values!H24-Fine_values!G24)/ABS(Fine_values!G24),"")</f>
        <v>0.00775461259917358</v>
      </c>
      <c r="H24" s="9" t="n">
        <f aca="false">IFERROR((Fine_values!I24-Fine_values!H24)/ABS(Fine_values!H24),"")</f>
        <v>0.0143728413046325</v>
      </c>
    </row>
    <row r="25" customFormat="false" ht="15" hidden="false" customHeight="false" outlineLevel="0" collapsed="false">
      <c r="A25" s="2" t="str">
        <f aca="false">Fine_values!A25</f>
        <v>Plume 1st cell: length from lip [m]</v>
      </c>
      <c r="B25" s="9" t="n">
        <f aca="false">IFERROR((Fine_values!C25-Fine_values!B25)/ABS(Fine_values!B25),"")</f>
        <v>0.0388731734914846</v>
      </c>
      <c r="C25" s="9" t="n">
        <f aca="false">IFERROR((Fine_values!D25-Fine_values!C25)/ABS(Fine_values!C25),"")</f>
        <v>0.031116435938075</v>
      </c>
      <c r="D25" s="9" t="n">
        <f aca="false">IFERROR((Fine_values!E25-Fine_values!D25)/ABS(Fine_values!D25),"")</f>
        <v>0.0226157651078337</v>
      </c>
      <c r="E25" s="9" t="n">
        <f aca="false">IFERROR((Fine_values!F25-Fine_values!E25)/ABS(Fine_values!E25),"")</f>
        <v>0.0409186755570754</v>
      </c>
      <c r="F25" s="9" t="n">
        <f aca="false">IFERROR((Fine_values!G25-Fine_values!F25)/ABS(Fine_values!F25),"")</f>
        <v>-0.00334998631261983</v>
      </c>
      <c r="G25" s="9" t="n">
        <f aca="false">IFERROR((Fine_values!H25-Fine_values!G25)/ABS(Fine_values!G25),"")</f>
        <v>0.0157418947267228</v>
      </c>
      <c r="H25" s="9" t="n">
        <f aca="false">IFERROR((Fine_values!I25-Fine_values!H25)/ABS(Fine_values!H25),"")</f>
        <v>0.0289474929524143</v>
      </c>
    </row>
    <row r="26" customFormat="false" ht="15" hidden="false" customHeight="false" outlineLevel="0" collapsed="false">
      <c r="A26" s="2" t="str">
        <f aca="false">Fine_values!A26</f>
        <v>Plume 1st cell: axis Mach behind closing shock [-]</v>
      </c>
      <c r="B26" s="9" t="n">
        <f aca="false">IFERROR((Fine_values!C26-Fine_values!B26)/ABS(Fine_values!B26),"")</f>
        <v>-0.0197912044281477</v>
      </c>
      <c r="C26" s="9" t="n">
        <f aca="false">IFERROR((Fine_values!D26-Fine_values!C26)/ABS(Fine_values!C26),"")</f>
        <v>-0.025937821661393</v>
      </c>
      <c r="D26" s="9" t="n">
        <f aca="false">IFERROR((Fine_values!E26-Fine_values!D26)/ABS(Fine_values!D26),"")</f>
        <v>0.0669210635747658</v>
      </c>
      <c r="E26" s="9" t="n">
        <f aca="false">IFERROR((Fine_values!F26-Fine_values!E26)/ABS(Fine_values!E26),"")</f>
        <v>-0.116881568569909</v>
      </c>
      <c r="F26" s="9" t="n">
        <f aca="false">IFERROR((Fine_values!G26-Fine_values!F26)/ABS(Fine_values!F26),"")</f>
        <v>0.144360675825831</v>
      </c>
      <c r="G26" s="9" t="n">
        <f aca="false">IFERROR((Fine_values!H26-Fine_values!G26)/ABS(Fine_values!G26),"")</f>
        <v>-0.0145918501612999</v>
      </c>
      <c r="H26" s="9" t="n">
        <f aca="false">IFERROR((Fine_values!I26-Fine_values!H26)/ABS(Fine_values!H26),"")</f>
        <v>-0.222344496065494</v>
      </c>
    </row>
    <row r="27" customFormat="false" ht="15" hidden="false" customHeight="false" outlineLevel="0" collapsed="false">
      <c r="A27" s="2" t="str">
        <f aca="false">Fine_values!A27</f>
        <v>Plume 1st cell: axis pressure behind closing shock [Pa]</v>
      </c>
      <c r="B27" s="9" t="n">
        <f aca="false">IFERROR((Fine_values!C27-Fine_values!B27)/ABS(Fine_values!B27),"")</f>
        <v>0.089860996924576</v>
      </c>
      <c r="C27" s="9" t="n">
        <f aca="false">IFERROR((Fine_values!D27-Fine_values!C27)/ABS(Fine_values!C27),"")</f>
        <v>0.105927630728827</v>
      </c>
      <c r="D27" s="9" t="n">
        <f aca="false">IFERROR((Fine_values!E27-Fine_values!D27)/ABS(Fine_values!D27),"")</f>
        <v>-0.190657091970139</v>
      </c>
      <c r="E27" s="9" t="n">
        <f aca="false">IFERROR((Fine_values!F27-Fine_values!E27)/ABS(Fine_values!E27),"")</f>
        <v>0.535469170051465</v>
      </c>
      <c r="F27" s="9" t="n">
        <f aca="false">IFERROR((Fine_values!G27-Fine_values!F27)/ABS(Fine_values!F27),"")</f>
        <v>-0.368154905598048</v>
      </c>
      <c r="G27" s="9" t="n">
        <f aca="false">IFERROR((Fine_values!H27-Fine_values!G27)/ABS(Fine_values!G27),"")</f>
        <v>0.0722501508143977</v>
      </c>
      <c r="H27" s="9" t="n">
        <f aca="false">IFERROR((Fine_values!I27-Fine_values!H27)/ABS(Fine_values!H27),"")</f>
        <v>1.01435028036682</v>
      </c>
    </row>
    <row r="28" customFormat="false" ht="15" hidden="false" customHeight="false" outlineLevel="0" collapsed="false">
      <c r="A28" s="2" t="str">
        <f aca="false">Fine_values!A28</f>
        <v>Plume 1st cell: axis temperature behind closing shock [K]</v>
      </c>
      <c r="B28" s="9" t="n">
        <f aca="false">IFERROR((Fine_values!C28-Fine_values!B28)/ABS(Fine_values!B28),"")</f>
        <v>0.0186028556082714</v>
      </c>
      <c r="C28" s="9" t="n">
        <f aca="false">IFERROR((Fine_values!D28-Fine_values!C28)/ABS(Fine_values!C28),"")</f>
        <v>0.0231900297153152</v>
      </c>
      <c r="D28" s="9" t="n">
        <f aca="false">IFERROR((Fine_values!E28-Fine_values!D28)/ABS(Fine_values!D28),"")</f>
        <v>-0.0519639473274534</v>
      </c>
      <c r="E28" s="9" t="n">
        <f aca="false">IFERROR((Fine_values!F28-Fine_values!E28)/ABS(Fine_values!E28),"")</f>
        <v>0.110043430745797</v>
      </c>
      <c r="F28" s="9" t="n">
        <f aca="false">IFERROR((Fine_values!G28-Fine_values!F28)/ABS(Fine_values!F28),"")</f>
        <v>-0.106954299443472</v>
      </c>
      <c r="G28" s="9" t="n">
        <f aca="false">IFERROR((Fine_values!H28-Fine_values!G28)/ABS(Fine_values!G28),"")</f>
        <v>0.0164391386302622</v>
      </c>
      <c r="H28" s="9" t="n">
        <f aca="false">IFERROR((Fine_values!I28-Fine_values!H28)/ABS(Fine_values!H28),"")</f>
        <v>0.194607413401668</v>
      </c>
    </row>
    <row r="29" customFormat="false" ht="15" hidden="false" customHeight="false" outlineLevel="0" collapsed="false">
      <c r="A29" s="2" t="str">
        <f aca="false">Fine_values!A29</f>
        <v>Plume 1st cell: axis density behind closing shock [kg/m3]</v>
      </c>
      <c r="B29" s="9" t="n">
        <f aca="false">IFERROR((Fine_values!C29-Fine_values!B29)/ABS(Fine_values!B29),"")</f>
        <v>0.0690981098250432</v>
      </c>
      <c r="C29" s="9" t="n">
        <f aca="false">IFERROR((Fine_values!D29-Fine_values!C29)/ABS(Fine_values!C29),"")</f>
        <v>0.080213425103936</v>
      </c>
      <c r="D29" s="9" t="n">
        <f aca="false">IFERROR((Fine_values!E29-Fine_values!D29)/ABS(Fine_values!D29),"")</f>
        <v>-0.145094822994259</v>
      </c>
      <c r="E29" s="9" t="n">
        <f aca="false">IFERROR((Fine_values!F29-Fine_values!E29)/ABS(Fine_values!E29),"")</f>
        <v>0.378448891429521</v>
      </c>
      <c r="F29" s="9" t="n">
        <f aca="false">IFERROR((Fine_values!G29-Fine_values!F29)/ABS(Fine_values!F29),"")</f>
        <v>-0.290018510812323</v>
      </c>
      <c r="G29" s="9" t="n">
        <f aca="false">IFERROR((Fine_values!H29-Fine_values!G29)/ABS(Fine_values!G29),"")</f>
        <v>0.0523102233522442</v>
      </c>
      <c r="H29" s="9" t="n">
        <f aca="false">IFERROR((Fine_values!I29-Fine_values!H29)/ABS(Fine_values!H29),"")</f>
        <v>0.690011350955804</v>
      </c>
    </row>
    <row r="30" customFormat="false" ht="15" hidden="false" customHeight="false" outlineLevel="0" collapsed="false">
      <c r="A30" s="2" t="str">
        <f aca="false">Fine_values!A30</f>
        <v>Plume 1st cell: pressure ratio across closing shock [-]</v>
      </c>
      <c r="B30" s="9" t="n">
        <f aca="false">IFERROR((Fine_values!C30-Fine_values!B30)/ABS(Fine_values!B30),"")</f>
        <v>0.134995279077644</v>
      </c>
      <c r="C30" s="9" t="n">
        <f aca="false">IFERROR((Fine_values!D30-Fine_values!C30)/ABS(Fine_values!C30),"")</f>
        <v>0.153044972498912</v>
      </c>
      <c r="D30" s="9" t="n">
        <f aca="false">IFERROR((Fine_values!E30-Fine_values!D30)/ABS(Fine_values!D30),"")</f>
        <v>-0.158030003784204</v>
      </c>
      <c r="E30" s="9" t="n">
        <f aca="false">IFERROR((Fine_values!F30-Fine_values!E30)/ABS(Fine_values!E30),"")</f>
        <v>0.597030886463394</v>
      </c>
      <c r="F30" s="9" t="n">
        <f aca="false">IFERROR((Fine_values!G30-Fine_values!F30)/ABS(Fine_values!F30),"")</f>
        <v>-0.344030071500594</v>
      </c>
      <c r="G30" s="9" t="n">
        <f aca="false">IFERROR((Fine_values!H30-Fine_values!G30)/ABS(Fine_values!G30),"")</f>
        <v>0.111364111172518</v>
      </c>
      <c r="H30" s="9" t="n">
        <f aca="false">IFERROR((Fine_values!I30-Fine_values!H30)/ABS(Fine_values!H30),"")</f>
        <v>1.0846357021762</v>
      </c>
    </row>
    <row r="31" customFormat="false" ht="15" hidden="false" customHeight="false" outlineLevel="0" collapsed="false">
      <c r="A31" s="2" t="str">
        <f aca="false">Fine_values!A31</f>
        <v>Final relative residual [-]</v>
      </c>
      <c r="B31" s="9" t="n">
        <f aca="false">IFERROR((Fine_values!C31-Fine_values!B31)/ABS(Fine_values!B31),"")</f>
        <v>4</v>
      </c>
      <c r="C31" s="9" t="n">
        <f aca="false">IFERROR((Fine_values!D31-Fine_values!C31)/ABS(Fine_values!C31),"")</f>
        <v>0.293218085106383</v>
      </c>
      <c r="D31" s="9" t="n">
        <f aca="false">IFERROR((Fine_values!E31-Fine_values!D31)/ABS(Fine_values!D31),"")</f>
        <v>-0.3573264781491</v>
      </c>
      <c r="E31" s="9" t="n">
        <f aca="false">IFERROR((Fine_values!F31-Fine_values!E31)/ABS(Fine_values!E31),"")</f>
        <v>1.072</v>
      </c>
      <c r="F31" s="9" t="n">
        <f aca="false">IFERROR((Fine_values!G31-Fine_values!F31)/ABS(Fine_values!F31),"")</f>
        <v>-0.345559845559846</v>
      </c>
      <c r="G31" s="9" t="n">
        <f aca="false">IFERROR((Fine_values!H31-Fine_values!G31)/ABS(Fine_values!G31),"")</f>
        <v>0.174631268436578</v>
      </c>
      <c r="H31" s="9" t="n">
        <f aca="false">IFERROR((Fine_values!I31-Fine_values!H31)/ABS(Fine_values!H31),"")</f>
        <v>0.687091913611251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85</v>
      </c>
    </row>
    <row r="3" customFormat="false" ht="15" hidden="false" customHeight="false" outlineLevel="0" collapsed="false">
      <c r="A3" s="4" t="s">
        <v>54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82</v>
      </c>
      <c r="G3" s="4" t="s">
        <v>83</v>
      </c>
      <c r="H3" s="4" t="s">
        <v>84</v>
      </c>
    </row>
    <row r="4" customFormat="false" ht="15" hidden="false" customHeight="false" outlineLevel="0" collapsed="false">
      <c r="A4" s="2" t="s">
        <v>55</v>
      </c>
      <c r="B4" s="10" t="n">
        <v>0.1033</v>
      </c>
      <c r="C4" s="10" t="n">
        <v>0.0874</v>
      </c>
      <c r="D4" s="10" t="n">
        <v>0.0749</v>
      </c>
      <c r="E4" s="10" t="n">
        <v>0.0654</v>
      </c>
      <c r="F4" s="10" t="n">
        <v>0.0575</v>
      </c>
      <c r="G4" s="10" t="n">
        <v>0.0505</v>
      </c>
      <c r="H4" s="10" t="n">
        <v>0.0454</v>
      </c>
    </row>
    <row r="5" customFormat="false" ht="15" hidden="false" customHeight="false" outlineLevel="0" collapsed="false">
      <c r="A5" s="2" t="s">
        <v>56</v>
      </c>
      <c r="B5" s="10" t="n">
        <v>0.113</v>
      </c>
      <c r="C5" s="10" t="n">
        <v>0.0948</v>
      </c>
      <c r="D5" s="10" t="n">
        <v>0.0807</v>
      </c>
      <c r="E5" s="10" t="n">
        <v>0.0697</v>
      </c>
      <c r="F5" s="10" t="n">
        <v>0.0609</v>
      </c>
      <c r="G5" s="10" t="n">
        <v>0.0536</v>
      </c>
      <c r="H5" s="10" t="n">
        <v>0.0476</v>
      </c>
    </row>
    <row r="6" customFormat="false" ht="15" hidden="false" customHeight="false" outlineLevel="0" collapsed="false">
      <c r="A6" s="2" t="s">
        <v>57</v>
      </c>
      <c r="B6" s="10" t="n">
        <v>0.1185</v>
      </c>
      <c r="C6" s="10" t="n">
        <v>0.1</v>
      </c>
      <c r="D6" s="10" t="n">
        <v>0.0857</v>
      </c>
      <c r="E6" s="10" t="n">
        <v>0.0746</v>
      </c>
      <c r="F6" s="10" t="n">
        <v>0.0655</v>
      </c>
      <c r="G6" s="10" t="n">
        <v>0.0577</v>
      </c>
      <c r="H6" s="10" t="n">
        <v>0.0517</v>
      </c>
    </row>
    <row r="7" customFormat="false" ht="15" hidden="false" customHeight="false" outlineLevel="0" collapsed="false">
      <c r="A7" s="2" t="s">
        <v>58</v>
      </c>
      <c r="B7" s="10" t="n">
        <v>0.1222</v>
      </c>
      <c r="C7" s="10" t="n">
        <v>0.1025</v>
      </c>
      <c r="D7" s="10" t="n">
        <v>0.0874</v>
      </c>
      <c r="E7" s="10" t="n">
        <v>0.0755</v>
      </c>
      <c r="F7" s="10" t="n">
        <v>0.066</v>
      </c>
      <c r="G7" s="10" t="n">
        <v>0.0581</v>
      </c>
      <c r="H7" s="10" t="n">
        <v>0.0517</v>
      </c>
    </row>
    <row r="8" customFormat="false" ht="15" hidden="false" customHeight="false" outlineLevel="0" collapsed="false">
      <c r="A8" s="2" t="s">
        <v>59</v>
      </c>
      <c r="B8" s="10" t="n">
        <v>0.0868</v>
      </c>
      <c r="C8" s="10" t="n">
        <v>0.0733</v>
      </c>
      <c r="D8" s="10" t="n">
        <v>0.0627</v>
      </c>
      <c r="E8" s="10" t="n">
        <v>0.0546</v>
      </c>
      <c r="F8" s="10" t="n">
        <v>0.048</v>
      </c>
      <c r="G8" s="10" t="n">
        <v>0.0422</v>
      </c>
      <c r="H8" s="10" t="n">
        <v>0.0378</v>
      </c>
    </row>
    <row r="9" customFormat="false" ht="15" hidden="false" customHeight="false" outlineLevel="0" collapsed="false">
      <c r="A9" s="2" t="s">
        <v>60</v>
      </c>
      <c r="B9" s="10" t="n">
        <v>0.7546</v>
      </c>
      <c r="C9" s="10" t="n">
        <v>0.7488</v>
      </c>
      <c r="D9" s="10" t="n">
        <v>0.7132</v>
      </c>
      <c r="E9" s="10" t="n">
        <v>0.8976</v>
      </c>
      <c r="F9" s="10" t="n">
        <v>0.8998</v>
      </c>
      <c r="G9" s="10" t="n">
        <v>0.8238</v>
      </c>
      <c r="H9" s="10" t="n">
        <v>1.14</v>
      </c>
    </row>
    <row r="10" customFormat="false" ht="15" hidden="false" customHeight="false" outlineLevel="0" collapsed="false">
      <c r="A10" s="2" t="s">
        <v>61</v>
      </c>
      <c r="B10" s="10" t="n">
        <v>0.3054</v>
      </c>
      <c r="C10" s="10" t="n">
        <v>0.3671</v>
      </c>
      <c r="D10" s="10" t="n">
        <v>0.6058</v>
      </c>
      <c r="E10" s="10" t="n">
        <v>0.594</v>
      </c>
      <c r="F10" s="10" t="n">
        <v>0.7752</v>
      </c>
      <c r="G10" s="10" t="n">
        <v>0.6487</v>
      </c>
      <c r="H10" s="10" t="n">
        <v>1.1707</v>
      </c>
    </row>
    <row r="11" customFormat="false" ht="15" hidden="false" customHeight="false" outlineLevel="0" collapsed="false">
      <c r="A11" s="2" t="s">
        <v>62</v>
      </c>
      <c r="B11" s="10" t="n">
        <v>0.6661</v>
      </c>
      <c r="C11" s="10" t="n">
        <v>0.6025</v>
      </c>
      <c r="D11" s="10" t="n">
        <v>0.987</v>
      </c>
      <c r="E11" s="10" t="n">
        <v>0.767</v>
      </c>
      <c r="F11" s="10" t="n">
        <v>1.3469</v>
      </c>
      <c r="G11" s="10" t="n">
        <v>0.628</v>
      </c>
      <c r="H11" s="10" t="n">
        <v>1.7567</v>
      </c>
    </row>
    <row r="12" customFormat="false" ht="15" hidden="false" customHeight="false" outlineLevel="0" collapsed="false">
      <c r="A12" s="2" t="s">
        <v>63</v>
      </c>
      <c r="B12" s="10" t="n">
        <v>0.6264</v>
      </c>
      <c r="C12" s="10" t="n">
        <v>0.4902</v>
      </c>
      <c r="D12" s="10" t="n">
        <v>1.4141</v>
      </c>
      <c r="E12" s="10" t="n">
        <v>0.8627</v>
      </c>
      <c r="F12" s="10" t="n">
        <v>1.9897</v>
      </c>
      <c r="G12" s="10" t="n">
        <v>1.0454</v>
      </c>
      <c r="H12" s="10" t="n">
        <v>3.4564</v>
      </c>
    </row>
    <row r="13" customFormat="false" ht="15" hidden="false" customHeight="false" outlineLevel="0" collapsed="false">
      <c r="A13" s="2" t="s">
        <v>64</v>
      </c>
      <c r="B13" s="10" t="n">
        <v>0.6033</v>
      </c>
      <c r="C13" s="10" t="n">
        <v>0.5871</v>
      </c>
      <c r="D13" s="10" t="n">
        <v>0.6006</v>
      </c>
      <c r="E13" s="10" t="n">
        <v>0.6182</v>
      </c>
      <c r="F13" s="10" t="n">
        <v>0.703</v>
      </c>
      <c r="G13" s="10" t="n">
        <v>0.6478</v>
      </c>
      <c r="H13" s="10" t="n">
        <v>0.9083</v>
      </c>
    </row>
    <row r="14" customFormat="false" ht="15" hidden="false" customHeight="false" outlineLevel="0" collapsed="false">
      <c r="A14" s="2" t="s">
        <v>65</v>
      </c>
      <c r="B14" s="10" t="n">
        <v>3.8568</v>
      </c>
      <c r="C14" s="10" t="n">
        <v>2.3708</v>
      </c>
      <c r="D14" s="10" t="n">
        <v>10.7429</v>
      </c>
      <c r="E14" s="10" t="n">
        <v>7.5544</v>
      </c>
      <c r="F14" s="10" t="n">
        <v>12.6863</v>
      </c>
      <c r="G14" s="10" t="n">
        <v>2.6248</v>
      </c>
      <c r="H14" s="10" t="n">
        <v>10.2038</v>
      </c>
    </row>
    <row r="15" customFormat="false" ht="15" hidden="false" customHeight="false" outlineLevel="0" collapsed="false">
      <c r="A15" s="2" t="s">
        <v>66</v>
      </c>
      <c r="B15" s="10" t="n">
        <v>4.0462</v>
      </c>
      <c r="C15" s="10" t="n">
        <v>3.6886</v>
      </c>
      <c r="D15" s="10" t="n">
        <v>13.2029</v>
      </c>
      <c r="E15" s="10" t="n">
        <v>18.251</v>
      </c>
      <c r="F15" s="10" t="n">
        <v>12.9998</v>
      </c>
      <c r="G15" s="10" t="n">
        <v>3.207</v>
      </c>
      <c r="H15" s="10" t="n">
        <v>26.8092</v>
      </c>
    </row>
    <row r="16" customFormat="false" ht="15" hidden="false" customHeight="false" outlineLevel="0" collapsed="false">
      <c r="A16" s="2" t="s">
        <v>67</v>
      </c>
      <c r="B16" s="10" t="n">
        <v>3.9044</v>
      </c>
      <c r="C16" s="10" t="n">
        <v>2.4194</v>
      </c>
      <c r="D16" s="10" t="n">
        <v>15.4264</v>
      </c>
      <c r="E16" s="10" t="n">
        <v>17.0844</v>
      </c>
      <c r="F16" s="10" t="n">
        <v>15.9925</v>
      </c>
      <c r="G16" s="10" t="n">
        <v>6.0241</v>
      </c>
      <c r="H16" s="10" t="n">
        <v>19.2094</v>
      </c>
    </row>
    <row r="17" customFormat="false" ht="15" hidden="false" customHeight="false" outlineLevel="0" collapsed="false">
      <c r="A17" s="2" t="s">
        <v>68</v>
      </c>
      <c r="B17" s="10" t="n">
        <v>6.8633</v>
      </c>
      <c r="C17" s="10" t="n">
        <v>4.1043</v>
      </c>
      <c r="D17" s="10" t="n">
        <v>18.503</v>
      </c>
      <c r="E17" s="10" t="n">
        <v>29.2023</v>
      </c>
      <c r="F17" s="10" t="n">
        <v>18.7956</v>
      </c>
      <c r="G17" s="10" t="n">
        <v>5.8406</v>
      </c>
      <c r="H17" s="10" t="n">
        <v>38.5018</v>
      </c>
    </row>
    <row r="18" customFormat="false" ht="15" hidden="false" customHeight="false" outlineLevel="0" collapsed="false">
      <c r="A18" s="2" t="s">
        <v>69</v>
      </c>
      <c r="B18" s="10" t="n">
        <v>3.5699</v>
      </c>
      <c r="C18" s="10" t="n">
        <v>2.2328</v>
      </c>
      <c r="D18" s="10" t="n">
        <v>12.2223</v>
      </c>
      <c r="E18" s="10" t="n">
        <v>11.8919</v>
      </c>
      <c r="F18" s="10" t="n">
        <v>14.0139</v>
      </c>
      <c r="G18" s="10" t="n">
        <v>3.7758</v>
      </c>
      <c r="H18" s="10" t="n">
        <v>15.4118</v>
      </c>
    </row>
    <row r="20" customFormat="false" ht="15" hidden="false" customHeight="false" outlineLevel="0" collapsed="false">
      <c r="A20" s="8" t="s">
        <v>70</v>
      </c>
    </row>
    <row r="21" customFormat="false" ht="15" hidden="false" customHeight="false" outlineLevel="0" collapsed="false">
      <c r="A21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2026-10-07T01:57:49Z</dcterms:created>
  <dc:creator>openpyxl</dc:creator>
  <dc:description/>
  <dc:language>en-US</dc:language>
  <cp:lastModifiedBy/>
  <dcterms:modified xsi:type="dcterms:W3CDTF">2026-10-07T01:58:36Z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