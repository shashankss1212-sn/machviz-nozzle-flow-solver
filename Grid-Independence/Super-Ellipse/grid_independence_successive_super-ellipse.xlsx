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arse_values" sheetId="2" state="visible" r:id="rId4"/>
    <sheet name="Coarse_successive_%" sheetId="3" state="visible" r:id="rId5"/>
    <sheet name="Coarse_fields_successive" sheetId="4" state="visible" r:id="rId6"/>
    <sheet name="Fine_values" sheetId="5" state="visible" r:id="rId7"/>
    <sheet name="Fine_successive_%" sheetId="6" state="visible" r:id="rId8"/>
    <sheet name="Fine_fields_successiv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<sst xmlns="http://schemas.openxmlformats.org/spreadsheetml/2006/main" count="153" uniqueCount="86">
  <si>
    <t xml:space="preserve">Grid independence study - successive refinement (SUPER-ELLIPSE profile, hybrid HLL/HLLC open-plume solver, order 1, 40,000 iterations)</t>
  </si>
  <si>
    <t xml:space="preserve">No fixed base mesh: every mesh is compared with the previous (next coarser) mesh in its own study.</t>
  </si>
  <si>
    <t xml:space="preserve">Coarse study: 105x28x77 -&gt; 195x52x143 (levels -30% ... +30% of 150x40x110).  Fine study: 180x45x139 -&gt; 320x80x246 (levels -10% ... +60% of 200x50x154).</t>
  </si>
  <si>
    <t xml:space="preserve">Sheets: *_values = raw values per mesh; *_successive_% = % change vs previous mesh (formulas); *_fields_successive = whole-field change vs previous mesh.</t>
  </si>
  <si>
    <t xml:space="preserve">Recommended grid-independence quantities: inlet mass flow and wall-pressure thrust (exit-plane values pick up the unsteady flow at the lip).</t>
  </si>
  <si>
    <t xml:space="preserve">Residual row: final relative residual, not a physical property; its % change is not meaningful.</t>
  </si>
  <si>
    <t xml:space="preserve">Plume 1st cell rows (axis values): peak = axis Mach maximum between x = 3 and 7.5 m; closing shock = steepest axial Mach drop after the peak (before x = 8.5 m);</t>
  </si>
  <si>
    <t xml:space="preserve">'behind closing shock' = minimum axis Mach (and the corresponding T, rho) and maximum axis pressure within 1.5 m downstream of that shock. Lip of the nozzle is at x = 3 m.</t>
  </si>
  <si>
    <t xml:space="preserve">Coarse mesh study (SUPER-ELLIPSE profile, hybrid HLL/HLLC solver) - values per mesh</t>
  </si>
  <si>
    <t xml:space="preserve">Property</t>
  </si>
  <si>
    <t xml:space="preserve">-30%
105x28x77</t>
  </si>
  <si>
    <t xml:space="preserve">-20%
120x32x88</t>
  </si>
  <si>
    <t xml:space="preserve">-10%
135x36x99</t>
  </si>
  <si>
    <t xml:space="preserve">0%
150x40x110</t>
  </si>
  <si>
    <t xml:space="preserve">+10%
165x44x121</t>
  </si>
  <si>
    <t xml:space="preserve">+20%
180x48x132</t>
  </si>
  <si>
    <t xml:space="preserve">+30%
195x52x143</t>
  </si>
  <si>
    <t xml:space="preserve">Cells [-]</t>
  </si>
  <si>
    <t xml:space="preserve">Mass flow, inlet [kg/s]</t>
  </si>
  <si>
    <t xml:space="preserve">Mass flow, exit plane [kg/s]</t>
  </si>
  <si>
    <t xml:space="preserve">Thrust, wall-pressure method [N]</t>
  </si>
  <si>
    <t xml:space="preserve">Thrust, exit-plane method [N]</t>
  </si>
  <si>
    <t xml:space="preserve">Specific impulse Isp [s]</t>
  </si>
  <si>
    <t xml:space="preserve">Discharge coefficient Cd [-]</t>
  </si>
  <si>
    <t xml:space="preserve">Exit-axis Mach [-]</t>
  </si>
  <si>
    <t xml:space="preserve">Exit-axis temperature [K]</t>
  </si>
  <si>
    <t xml:space="preserve">Exit-axis pressure [Pa]</t>
  </si>
  <si>
    <t xml:space="preserve">Exit-axis velocity [m/s]</t>
  </si>
  <si>
    <t xml:space="preserve">Exit-axis density [kg/m3]</t>
  </si>
  <si>
    <t xml:space="preserve">Exit mass-averaged Mach [-]</t>
  </si>
  <si>
    <t xml:space="preserve">Throat-axis Mach [-]</t>
  </si>
  <si>
    <t xml:space="preserve">Plume 1st cell: x of axis Mach peak [m]</t>
  </si>
  <si>
    <t xml:space="preserve">Plume 1st cell: peak axis Mach [-]</t>
  </si>
  <si>
    <t xml:space="preserve">Plume 1st cell: axis pressure at peak [Pa]</t>
  </si>
  <si>
    <t xml:space="preserve">Plume 1st cell: axis temperature at peak [K]</t>
  </si>
  <si>
    <t xml:space="preserve">Plume 1st cell: axis density at peak [kg/m3]</t>
  </si>
  <si>
    <t xml:space="preserve">Plume 1st cell: axis velocity at peak [m/s]</t>
  </si>
  <si>
    <t xml:space="preserve">Plume 1st cell: end (closing shock) x [m]</t>
  </si>
  <si>
    <t xml:space="preserve">Plume 1st cell: length from lip [m]</t>
  </si>
  <si>
    <t xml:space="preserve">Plume 1st cell: axis Mach behind closing shock [-]</t>
  </si>
  <si>
    <t xml:space="preserve">Plume 1st cell: axis pressure behind closing shock [Pa]</t>
  </si>
  <si>
    <t xml:space="preserve">Plume 1st cell: axis temperature behind closing shock [K]</t>
  </si>
  <si>
    <t xml:space="preserve">Plume 1st cell: axis density behind closing shock [kg/m3]</t>
  </si>
  <si>
    <t xml:space="preserve">Plume 1st cell: pressure ratio across closing shock [-]</t>
  </si>
  <si>
    <t xml:space="preserve">Final relative residual [-]</t>
  </si>
  <si>
    <t xml:space="preserve">Blue = values read from each run's JSON output (sweep folder). 'Exit-axis density' = centreline cell at the nozzle exit. Plume 1st-cell definitions: see README.</t>
  </si>
  <si>
    <t xml:space="preserve">Coarse mesh study - % change relative to the PREVIOUS (next coarser) mesh: 100*(this - previous)/previous</t>
  </si>
  <si>
    <t xml:space="preserve">-30% -&gt; -20%</t>
  </si>
  <si>
    <t xml:space="preserve">-20% -&gt; -10%</t>
  </si>
  <si>
    <t xml:space="preserve">-10% -&gt; 0%</t>
  </si>
  <si>
    <t xml:space="preserve">0% -&gt; +10%</t>
  </si>
  <si>
    <t xml:space="preserve">+10% -&gt; +20%</t>
  </si>
  <si>
    <t xml:space="preserve">+20% -&gt; +30%</t>
  </si>
  <si>
    <t xml:space="preserve">Coarse mesh study - whole-field change relative to the PREVIOUS mesh (mean |difference| as % of the previous mesh's field range)</t>
  </si>
  <si>
    <t xml:space="preserve">Region / property</t>
  </si>
  <si>
    <t xml:space="preserve">Nozzle: Mach</t>
  </si>
  <si>
    <t xml:space="preserve">Nozzle: Pressure</t>
  </si>
  <si>
    <t xml:space="preserve">Nozzle: Temperature</t>
  </si>
  <si>
    <t xml:space="preserve">Nozzle: Density</t>
  </si>
  <si>
    <t xml:space="preserve">Nozzle: Velocity</t>
  </si>
  <si>
    <t xml:space="preserve">Plume 1st cell: Mach</t>
  </si>
  <si>
    <t xml:space="preserve">Plume 1st cell: Pressure</t>
  </si>
  <si>
    <t xml:space="preserve">Plume 1st cell: Temperature</t>
  </si>
  <si>
    <t xml:space="preserve">Plume 1st cell: Density</t>
  </si>
  <si>
    <t xml:space="preserve">Plume 1st cell: Velocity</t>
  </si>
  <si>
    <t xml:space="preserve">Plume: Mach</t>
  </si>
  <si>
    <t xml:space="preserve">Plume: Pressure</t>
  </si>
  <si>
    <t xml:space="preserve">Plume: Temperature</t>
  </si>
  <si>
    <t xml:space="preserve">Plume: Density</t>
  </si>
  <si>
    <t xml:space="preserve">Plume: Velocity</t>
  </si>
  <si>
    <t xml:space="preserve">Computed in Python: the finer mesh's field is linearly interpolated (scipy griddata) onto the previous mesh's cell centres; values are in % of field range (not fractions). Nozzle = x &lt;= 3 m (L_div); plume 1st cell = from the lip (x = 3 m) to the end of the 1st cell of the previous mesh; plume = all x &gt; 3 m.</t>
  </si>
  <si>
    <t xml:space="preserve">Plume rows beyond the first shock cell include the pseudo-time cycle of the 2nd cell (see analysis/second_cell_cycle.png), so they are not a pure grid effect.</t>
  </si>
  <si>
    <t xml:space="preserve">Fine mesh study (SUPER-ELLIPSE profile, hybrid HLL/HLLC solver) - values per mesh</t>
  </si>
  <si>
    <t xml:space="preserve">-10%
180x45x139</t>
  </si>
  <si>
    <t xml:space="preserve">0%
200x50x154</t>
  </si>
  <si>
    <t xml:space="preserve">+10%
220x55x169</t>
  </si>
  <si>
    <t xml:space="preserve">+20%
240x60x185</t>
  </si>
  <si>
    <t xml:space="preserve">+30%
260x65x200</t>
  </si>
  <si>
    <t xml:space="preserve">+40%
280x70x216</t>
  </si>
  <si>
    <t xml:space="preserve">+50%
300x75x231</t>
  </si>
  <si>
    <t xml:space="preserve">+60%
320x80x246</t>
  </si>
  <si>
    <t xml:space="preserve">Fine mesh study - % change relative to the PREVIOUS (next coarser) mesh: 100*(this - previous)/previous</t>
  </si>
  <si>
    <t xml:space="preserve">+30% -&gt; +40%</t>
  </si>
  <si>
    <t xml:space="preserve">+40% -&gt; +50%</t>
  </si>
  <si>
    <t xml:space="preserve">+50% -&gt; +60%</t>
  </si>
  <si>
    <t xml:space="preserve">Fine mesh study - whole-field change relative to the PREVIOUS mesh (mean |difference| as % of the previous mesh's field range)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</si>
</sst>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0"/>
    <numFmt numFmtId="166" formatCode="0.000E+00"/>
    <numFmt numFmtId="167" formatCode="0.000%;\-0.000%;0.000%"/>
    <numFmt numFmtId="168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3" t="s">
        <v>8</v>
      </c>
    </row>
    <row r="3" customFormat="false" ht="23.85" hidden="false" customHeight="false" outlineLevel="0" collapsed="false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customFormat="false" ht="15" hidden="false" customHeight="false" outlineLevel="0" collapsed="false">
      <c r="A4" s="2" t="s">
        <v>17</v>
      </c>
      <c r="B4" s="5" t="n">
        <v>5096</v>
      </c>
      <c r="C4" s="5" t="n">
        <v>6656</v>
      </c>
      <c r="D4" s="5" t="n">
        <v>8424</v>
      </c>
      <c r="E4" s="5" t="n">
        <v>10400</v>
      </c>
      <c r="F4" s="5" t="n">
        <v>12584</v>
      </c>
      <c r="G4" s="5" t="n">
        <v>14976</v>
      </c>
      <c r="H4" s="5" t="n">
        <v>17576</v>
      </c>
    </row>
    <row r="5" customFormat="false" ht="15" hidden="false" customHeight="false" outlineLevel="0" collapsed="false">
      <c r="A5" s="2" t="s">
        <v>18</v>
      </c>
      <c r="B5" s="6" t="n">
        <v>2307.93</v>
      </c>
      <c r="C5" s="6" t="n">
        <v>2316.46</v>
      </c>
      <c r="D5" s="6" t="n">
        <v>2323.54</v>
      </c>
      <c r="E5" s="6" t="n">
        <v>2329.49</v>
      </c>
      <c r="F5" s="6" t="n">
        <v>2333.55</v>
      </c>
      <c r="G5" s="6" t="n">
        <v>2338.01</v>
      </c>
      <c r="H5" s="6" t="n">
        <v>2341.86</v>
      </c>
    </row>
    <row r="6" customFormat="false" ht="15" hidden="false" customHeight="false" outlineLevel="0" collapsed="false">
      <c r="A6" s="2" t="s">
        <v>19</v>
      </c>
      <c r="B6" s="6" t="n">
        <v>2319.54</v>
      </c>
      <c r="C6" s="6" t="n">
        <v>2330.4</v>
      </c>
      <c r="D6" s="6" t="n">
        <v>2353.78</v>
      </c>
      <c r="E6" s="6" t="n">
        <v>2362.78</v>
      </c>
      <c r="F6" s="6" t="n">
        <v>2356.18</v>
      </c>
      <c r="G6" s="6" t="n">
        <v>2382.62</v>
      </c>
      <c r="H6" s="6" t="n">
        <v>2405.64</v>
      </c>
    </row>
    <row r="7" customFormat="false" ht="15" hidden="false" customHeight="false" outlineLevel="0" collapsed="false">
      <c r="A7" s="2" t="s">
        <v>20</v>
      </c>
      <c r="B7" s="6" t="n">
        <v>4233050</v>
      </c>
      <c r="C7" s="6" t="n">
        <v>4248380</v>
      </c>
      <c r="D7" s="6" t="n">
        <v>4230240</v>
      </c>
      <c r="E7" s="6" t="n">
        <v>4277730</v>
      </c>
      <c r="F7" s="6" t="n">
        <v>4252790</v>
      </c>
      <c r="G7" s="6" t="n">
        <v>4238100</v>
      </c>
      <c r="H7" s="6" t="n">
        <v>4265120</v>
      </c>
    </row>
    <row r="8" customFormat="false" ht="15" hidden="false" customHeight="false" outlineLevel="0" collapsed="false">
      <c r="A8" s="2" t="s">
        <v>21</v>
      </c>
      <c r="B8" s="6" t="n">
        <v>4028870</v>
      </c>
      <c r="C8" s="6" t="n">
        <v>4058670</v>
      </c>
      <c r="D8" s="6" t="n">
        <v>4101210</v>
      </c>
      <c r="E8" s="6" t="n">
        <v>4117500</v>
      </c>
      <c r="F8" s="6" t="n">
        <v>4123430</v>
      </c>
      <c r="G8" s="6" t="n">
        <v>4159090</v>
      </c>
      <c r="H8" s="6" t="n">
        <v>4188900</v>
      </c>
    </row>
    <row r="9" customFormat="false" ht="15" hidden="false" customHeight="false" outlineLevel="0" collapsed="false">
      <c r="A9" s="2" t="s">
        <v>22</v>
      </c>
      <c r="B9" s="6" t="n">
        <v>177.117</v>
      </c>
      <c r="C9" s="6" t="n">
        <v>177.596</v>
      </c>
      <c r="D9" s="6" t="n">
        <v>177.674</v>
      </c>
      <c r="E9" s="6" t="n">
        <v>177.701</v>
      </c>
      <c r="F9" s="6" t="n">
        <v>178.455</v>
      </c>
      <c r="G9" s="6" t="n">
        <v>178.001</v>
      </c>
      <c r="H9" s="6" t="n">
        <v>177.561</v>
      </c>
    </row>
    <row r="10" customFormat="false" ht="15" hidden="false" customHeight="false" outlineLevel="0" collapsed="false">
      <c r="A10" s="2" t="s">
        <v>23</v>
      </c>
      <c r="B10" s="6" t="n">
        <v>0.952033</v>
      </c>
      <c r="C10" s="6" t="n">
        <v>0.95649</v>
      </c>
      <c r="D10" s="6" t="n">
        <v>0.966085</v>
      </c>
      <c r="E10" s="6" t="n">
        <v>0.969781</v>
      </c>
      <c r="F10" s="6" t="n">
        <v>0.967072</v>
      </c>
      <c r="G10" s="6" t="n">
        <v>0.977921</v>
      </c>
      <c r="H10" s="6" t="n">
        <v>0.987371</v>
      </c>
    </row>
    <row r="11" customFormat="false" ht="15" hidden="false" customHeight="false" outlineLevel="0" collapsed="false">
      <c r="A11" s="2" t="s">
        <v>24</v>
      </c>
      <c r="B11" s="6" t="n">
        <v>2.394</v>
      </c>
      <c r="C11" s="6" t="n">
        <v>2.386</v>
      </c>
      <c r="D11" s="6" t="n">
        <v>2.379</v>
      </c>
      <c r="E11" s="6" t="n">
        <v>2.374</v>
      </c>
      <c r="F11" s="6" t="n">
        <v>2.37</v>
      </c>
      <c r="G11" s="6" t="n">
        <v>2.366</v>
      </c>
      <c r="H11" s="6" t="n">
        <v>2.363</v>
      </c>
    </row>
    <row r="12" customFormat="false" ht="15" hidden="false" customHeight="false" outlineLevel="0" collapsed="false">
      <c r="A12" s="2" t="s">
        <v>25</v>
      </c>
      <c r="B12" s="6" t="n">
        <v>1601</v>
      </c>
      <c r="C12" s="6" t="n">
        <v>1607</v>
      </c>
      <c r="D12" s="6" t="n">
        <v>1612</v>
      </c>
      <c r="E12" s="6" t="n">
        <v>1616</v>
      </c>
      <c r="F12" s="6" t="n">
        <v>1619</v>
      </c>
      <c r="G12" s="6" t="n">
        <v>1622</v>
      </c>
      <c r="H12" s="6" t="n">
        <v>1624</v>
      </c>
    </row>
    <row r="13" customFormat="false" ht="15" hidden="false" customHeight="false" outlineLevel="0" collapsed="false">
      <c r="A13" s="2" t="s">
        <v>26</v>
      </c>
      <c r="B13" s="6" t="n">
        <v>187840</v>
      </c>
      <c r="C13" s="6" t="n">
        <v>192440</v>
      </c>
      <c r="D13" s="6" t="n">
        <v>196080</v>
      </c>
      <c r="E13" s="6" t="n">
        <v>199030</v>
      </c>
      <c r="F13" s="6" t="n">
        <v>201400</v>
      </c>
      <c r="G13" s="6" t="n">
        <v>203400</v>
      </c>
      <c r="H13" s="6" t="n">
        <v>205080</v>
      </c>
    </row>
    <row r="14" customFormat="false" ht="15" hidden="false" customHeight="false" outlineLevel="0" collapsed="false">
      <c r="A14" s="2" t="s">
        <v>27</v>
      </c>
      <c r="B14" s="6" t="n">
        <v>1858.2</v>
      </c>
      <c r="C14" s="6" t="n">
        <v>1855.2</v>
      </c>
      <c r="D14" s="6" t="n">
        <v>1852.7</v>
      </c>
      <c r="E14" s="6" t="n">
        <v>1850.7</v>
      </c>
      <c r="F14" s="6" t="n">
        <v>1849</v>
      </c>
      <c r="G14" s="6" t="n">
        <v>1847.6</v>
      </c>
      <c r="H14" s="6" t="n">
        <v>1846.5</v>
      </c>
    </row>
    <row r="15" customFormat="false" ht="15" hidden="false" customHeight="false" outlineLevel="0" collapsed="false">
      <c r="A15" s="2" t="s">
        <v>28</v>
      </c>
      <c r="B15" s="6" t="n">
        <v>0.408628</v>
      </c>
      <c r="C15" s="6" t="n">
        <v>0.417075</v>
      </c>
      <c r="D15" s="6" t="n">
        <v>0.42372</v>
      </c>
      <c r="E15" s="6" t="n">
        <v>0.429044</v>
      </c>
      <c r="F15" s="6" t="n">
        <v>0.433303</v>
      </c>
      <c r="G15" s="6" t="n">
        <v>0.436894</v>
      </c>
      <c r="H15" s="6" t="n">
        <v>0.4399</v>
      </c>
    </row>
    <row r="16" customFormat="false" ht="15" hidden="false" customHeight="false" outlineLevel="0" collapsed="false">
      <c r="A16" s="2" t="s">
        <v>29</v>
      </c>
      <c r="B16" s="6" t="n">
        <v>2.436</v>
      </c>
      <c r="C16" s="6" t="n">
        <v>2.447</v>
      </c>
      <c r="D16" s="6" t="n">
        <v>2.464</v>
      </c>
      <c r="E16" s="6" t="n">
        <v>2.452</v>
      </c>
      <c r="F16" s="6" t="n">
        <v>2.481</v>
      </c>
      <c r="G16" s="6" t="n">
        <v>2.483</v>
      </c>
      <c r="H16" s="6" t="n">
        <v>2.47</v>
      </c>
    </row>
    <row r="17" customFormat="false" ht="15" hidden="false" customHeight="false" outlineLevel="0" collapsed="false">
      <c r="A17" s="2" t="s">
        <v>30</v>
      </c>
      <c r="B17" s="6" t="n">
        <v>0.81941</v>
      </c>
      <c r="C17" s="6" t="n">
        <v>0.81873</v>
      </c>
      <c r="D17" s="6" t="n">
        <v>0.81809</v>
      </c>
      <c r="E17" s="6" t="n">
        <v>0.81753</v>
      </c>
      <c r="F17" s="6" t="n">
        <v>0.81707</v>
      </c>
      <c r="G17" s="6" t="n">
        <v>0.81667</v>
      </c>
      <c r="H17" s="6" t="n">
        <v>0.81631</v>
      </c>
    </row>
    <row r="18" customFormat="false" ht="15" hidden="false" customHeight="false" outlineLevel="0" collapsed="false">
      <c r="A18" s="2" t="s">
        <v>31</v>
      </c>
      <c r="B18" s="6" t="n">
        <v>6.36833</v>
      </c>
      <c r="C18" s="6" t="n">
        <v>6.482</v>
      </c>
      <c r="D18" s="6" t="n">
        <v>6.69203</v>
      </c>
      <c r="E18" s="6" t="n">
        <v>6.64406</v>
      </c>
      <c r="F18" s="6" t="n">
        <v>7.09113</v>
      </c>
      <c r="G18" s="6" t="n">
        <v>7.01535</v>
      </c>
      <c r="H18" s="6" t="n">
        <v>7.03886</v>
      </c>
    </row>
    <row r="19" customFormat="false" ht="15" hidden="false" customHeight="false" outlineLevel="0" collapsed="false">
      <c r="A19" s="2" t="s">
        <v>32</v>
      </c>
      <c r="B19" s="6" t="n">
        <v>4.04333</v>
      </c>
      <c r="C19" s="6" t="n">
        <v>4.09703</v>
      </c>
      <c r="D19" s="6" t="n">
        <v>4.20648</v>
      </c>
      <c r="E19" s="6" t="n">
        <v>4.20792</v>
      </c>
      <c r="F19" s="6" t="n">
        <v>4.34945</v>
      </c>
      <c r="G19" s="6" t="n">
        <v>4.363</v>
      </c>
      <c r="H19" s="6" t="n">
        <v>4.3642</v>
      </c>
    </row>
    <row r="20" customFormat="false" ht="15" hidden="false" customHeight="false" outlineLevel="0" collapsed="false">
      <c r="A20" s="2" t="s">
        <v>33</v>
      </c>
      <c r="B20" s="6" t="n">
        <v>11727.4</v>
      </c>
      <c r="C20" s="6" t="n">
        <v>11022.1</v>
      </c>
      <c r="D20" s="6" t="n">
        <v>9560.68</v>
      </c>
      <c r="E20" s="6" t="n">
        <v>9666.82</v>
      </c>
      <c r="F20" s="6" t="n">
        <v>8042.01</v>
      </c>
      <c r="G20" s="6" t="n">
        <v>7919.83</v>
      </c>
      <c r="H20" s="6" t="n">
        <v>7978.94</v>
      </c>
    </row>
    <row r="21" customFormat="false" ht="15" hidden="false" customHeight="false" outlineLevel="0" collapsed="false">
      <c r="A21" s="2" t="s">
        <v>34</v>
      </c>
      <c r="B21" s="6" t="n">
        <v>826.936</v>
      </c>
      <c r="C21" s="6" t="n">
        <v>809.191</v>
      </c>
      <c r="D21" s="6" t="n">
        <v>777.879</v>
      </c>
      <c r="E21" s="6" t="n">
        <v>776.518</v>
      </c>
      <c r="F21" s="6" t="n">
        <v>736.794</v>
      </c>
      <c r="G21" s="6" t="n">
        <v>734.349</v>
      </c>
      <c r="H21" s="6" t="n">
        <v>734.087</v>
      </c>
    </row>
    <row r="22" customFormat="false" ht="15" hidden="false" customHeight="false" outlineLevel="0" collapsed="false">
      <c r="A22" s="2" t="s">
        <v>35</v>
      </c>
      <c r="B22" s="6" t="n">
        <v>0.0494042</v>
      </c>
      <c r="C22" s="6" t="n">
        <v>0.0474515</v>
      </c>
      <c r="D22" s="6" t="n">
        <v>0.0428165</v>
      </c>
      <c r="E22" s="6" t="n">
        <v>0.0433677</v>
      </c>
      <c r="F22" s="6" t="n">
        <v>0.0380236</v>
      </c>
      <c r="G22" s="6" t="n">
        <v>0.0375706</v>
      </c>
      <c r="H22" s="6" t="n">
        <v>0.0378645</v>
      </c>
    </row>
    <row r="23" customFormat="false" ht="15" hidden="false" customHeight="false" outlineLevel="0" collapsed="false">
      <c r="A23" s="2" t="s">
        <v>36</v>
      </c>
      <c r="B23" s="6" t="n">
        <v>2290.66</v>
      </c>
      <c r="C23" s="6" t="n">
        <v>2297.49</v>
      </c>
      <c r="D23" s="6" t="n">
        <v>2315.43</v>
      </c>
      <c r="E23" s="6" t="n">
        <v>2314.31</v>
      </c>
      <c r="F23" s="6" t="n">
        <v>2333.67</v>
      </c>
      <c r="G23" s="6" t="n">
        <v>2337.27</v>
      </c>
      <c r="H23" s="6" t="n">
        <v>2337.53</v>
      </c>
    </row>
    <row r="24" customFormat="false" ht="15" hidden="false" customHeight="false" outlineLevel="0" collapsed="false">
      <c r="A24" s="2" t="s">
        <v>37</v>
      </c>
      <c r="B24" s="6" t="n">
        <v>6.83062</v>
      </c>
      <c r="C24" s="6" t="n">
        <v>6.89102</v>
      </c>
      <c r="D24" s="6" t="n">
        <v>7.06422</v>
      </c>
      <c r="E24" s="6" t="n">
        <v>7.68215</v>
      </c>
      <c r="F24" s="6" t="n">
        <v>7.51791</v>
      </c>
      <c r="G24" s="6" t="n">
        <v>7.30392</v>
      </c>
      <c r="H24" s="6" t="n">
        <v>7.30562</v>
      </c>
    </row>
    <row r="25" customFormat="false" ht="15" hidden="false" customHeight="false" outlineLevel="0" collapsed="false">
      <c r="A25" s="2" t="s">
        <v>38</v>
      </c>
      <c r="B25" s="6" t="n">
        <v>3.83062</v>
      </c>
      <c r="C25" s="6" t="n">
        <v>3.89102</v>
      </c>
      <c r="D25" s="6" t="n">
        <v>4.06422</v>
      </c>
      <c r="E25" s="6" t="n">
        <v>4.68215</v>
      </c>
      <c r="F25" s="6" t="n">
        <v>4.51791</v>
      </c>
      <c r="G25" s="6" t="n">
        <v>4.30392</v>
      </c>
      <c r="H25" s="6" t="n">
        <v>4.30562</v>
      </c>
    </row>
    <row r="26" customFormat="false" ht="15" hidden="false" customHeight="false" outlineLevel="0" collapsed="false">
      <c r="A26" s="2" t="s">
        <v>39</v>
      </c>
      <c r="B26" s="6" t="n">
        <v>2.06412</v>
      </c>
      <c r="C26" s="6" t="n">
        <v>1.9223</v>
      </c>
      <c r="D26" s="6" t="n">
        <v>1.84062</v>
      </c>
      <c r="E26" s="6" t="n">
        <v>1.3628</v>
      </c>
      <c r="F26" s="6" t="n">
        <v>1.70751</v>
      </c>
      <c r="G26" s="6" t="n">
        <v>2.14644</v>
      </c>
      <c r="H26" s="6" t="n">
        <v>1.44451</v>
      </c>
    </row>
    <row r="27" customFormat="false" ht="15" hidden="false" customHeight="false" outlineLevel="0" collapsed="false">
      <c r="A27" s="2" t="s">
        <v>40</v>
      </c>
      <c r="B27" s="6" t="n">
        <v>216666</v>
      </c>
      <c r="C27" s="6" t="n">
        <v>256853</v>
      </c>
      <c r="D27" s="6" t="n">
        <v>273690</v>
      </c>
      <c r="E27" s="6" t="n">
        <v>299911</v>
      </c>
      <c r="F27" s="6" t="n">
        <v>214521</v>
      </c>
      <c r="G27" s="6" t="n">
        <v>196998</v>
      </c>
      <c r="H27" s="6" t="n">
        <v>329768</v>
      </c>
    </row>
    <row r="28" customFormat="false" ht="15" hidden="false" customHeight="false" outlineLevel="0" collapsed="false">
      <c r="A28" s="2" t="s">
        <v>41</v>
      </c>
      <c r="B28" s="6" t="n">
        <v>1880.68</v>
      </c>
      <c r="C28" s="6" t="n">
        <v>1956.53</v>
      </c>
      <c r="D28" s="6" t="n">
        <v>2008.38</v>
      </c>
      <c r="E28" s="6" t="n">
        <v>2189.28</v>
      </c>
      <c r="F28" s="6" t="n">
        <v>1983.83</v>
      </c>
      <c r="G28" s="6" t="n">
        <v>1844.52</v>
      </c>
      <c r="H28" s="6" t="n">
        <v>2217.85</v>
      </c>
    </row>
    <row r="29" customFormat="false" ht="15" hidden="false" customHeight="false" outlineLevel="0" collapsed="false">
      <c r="A29" s="2" t="s">
        <v>42</v>
      </c>
      <c r="B29" s="6" t="n">
        <v>0.401338</v>
      </c>
      <c r="C29" s="6" t="n">
        <v>0.457334</v>
      </c>
      <c r="D29" s="6" t="n">
        <v>0.424386</v>
      </c>
      <c r="E29" s="6" t="n">
        <v>0.469872</v>
      </c>
      <c r="F29" s="6" t="n">
        <v>0.369944</v>
      </c>
      <c r="G29" s="6" t="n">
        <v>0.360507</v>
      </c>
      <c r="H29" s="6" t="n">
        <v>0.501868</v>
      </c>
    </row>
    <row r="30" customFormat="false" ht="15" hidden="false" customHeight="false" outlineLevel="0" collapsed="false">
      <c r="A30" s="2" t="s">
        <v>43</v>
      </c>
      <c r="B30" s="6" t="n">
        <v>18.4751948428467</v>
      </c>
      <c r="C30" s="6" t="n">
        <v>23.3034539697517</v>
      </c>
      <c r="D30" s="6" t="n">
        <v>28.6266248844225</v>
      </c>
      <c r="E30" s="6" t="n">
        <v>31.0247837448096</v>
      </c>
      <c r="F30" s="6" t="n">
        <v>26.6750476559965</v>
      </c>
      <c r="G30" s="6" t="n">
        <v>24.8740187605037</v>
      </c>
      <c r="H30" s="6" t="n">
        <v>41.3298007003437</v>
      </c>
    </row>
    <row r="31" customFormat="false" ht="15" hidden="false" customHeight="false" outlineLevel="0" collapsed="false">
      <c r="A31" s="2" t="s">
        <v>44</v>
      </c>
      <c r="B31" s="7" t="n">
        <v>0.01893</v>
      </c>
      <c r="C31" s="7" t="n">
        <v>0.02771</v>
      </c>
      <c r="D31" s="7" t="n">
        <v>0.03302</v>
      </c>
      <c r="E31" s="7" t="n">
        <v>0.04226</v>
      </c>
      <c r="F31" s="7" t="n">
        <v>0.03143</v>
      </c>
      <c r="G31" s="7" t="n">
        <v>0.03207</v>
      </c>
      <c r="H31" s="7" t="n">
        <v>0.04719</v>
      </c>
    </row>
    <row r="33" customFormat="false" ht="15" hidden="false" customHeight="false" outlineLevel="0" collapsed="false">
      <c r="A33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3" t="s">
        <v>46</v>
      </c>
    </row>
    <row r="3" customFormat="false" ht="15" hidden="false" customHeight="false" outlineLevel="0" collapsed="false">
      <c r="A3" s="4" t="s">
        <v>9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</row>
    <row r="4" customFormat="false" ht="15" hidden="false" customHeight="false" outlineLevel="0" collapsed="false">
      <c r="A4" s="2" t="str">
        <f aca="false">Coarse_values!A4</f>
        <v>Cells [-]</v>
      </c>
      <c r="B4" s="9" t="n">
        <f aca="false">IFERROR((Coarse_values!C4-Coarse_values!B4)/ABS(Coarse_values!B4),"")</f>
        <v>0.306122448979592</v>
      </c>
      <c r="C4" s="9" t="n">
        <f aca="false">IFERROR((Coarse_values!D4-Coarse_values!C4)/ABS(Coarse_values!C4),"")</f>
        <v>0.265625</v>
      </c>
      <c r="D4" s="9" t="n">
        <f aca="false">IFERROR((Coarse_values!E4-Coarse_values!D4)/ABS(Coarse_values!D4),"")</f>
        <v>0.234567901234568</v>
      </c>
      <c r="E4" s="9" t="n">
        <f aca="false">IFERROR((Coarse_values!F4-Coarse_values!E4)/ABS(Coarse_values!E4),"")</f>
        <v>0.21</v>
      </c>
      <c r="F4" s="9" t="n">
        <f aca="false">IFERROR((Coarse_values!G4-Coarse_values!F4)/ABS(Coarse_values!F4),"")</f>
        <v>0.190082644628099</v>
      </c>
      <c r="G4" s="9" t="n">
        <f aca="false">IFERROR((Coarse_values!H4-Coarse_values!G4)/ABS(Coarse_values!G4),"")</f>
        <v>0.173611111111111</v>
      </c>
    </row>
    <row r="5" customFormat="false" ht="15" hidden="false" customHeight="false" outlineLevel="0" collapsed="false">
      <c r="A5" s="2" t="str">
        <f aca="false">Coarse_values!A5</f>
        <v>Mass flow, inlet [kg/s]</v>
      </c>
      <c r="B5" s="9" t="n">
        <f aca="false">IFERROR((Coarse_values!C5-Coarse_values!B5)/ABS(Coarse_values!B5),"")</f>
        <v>0.00369595265021045</v>
      </c>
      <c r="C5" s="9" t="n">
        <f aca="false">IFERROR((Coarse_values!D5-Coarse_values!C5)/ABS(Coarse_values!C5),"")</f>
        <v>0.00305638776408828</v>
      </c>
      <c r="D5" s="9" t="n">
        <f aca="false">IFERROR((Coarse_values!E5-Coarse_values!D5)/ABS(Coarse_values!D5),"")</f>
        <v>0.00256074782444022</v>
      </c>
      <c r="E5" s="9" t="n">
        <f aca="false">IFERROR((Coarse_values!F5-Coarse_values!E5)/ABS(Coarse_values!E5),"")</f>
        <v>0.00174287075711868</v>
      </c>
      <c r="F5" s="9" t="n">
        <f aca="false">IFERROR((Coarse_values!G5-Coarse_values!F5)/ABS(Coarse_values!F5),"")</f>
        <v>0.00191125109811233</v>
      </c>
      <c r="G5" s="9" t="n">
        <f aca="false">IFERROR((Coarse_values!H5-Coarse_values!G5)/ABS(Coarse_values!G5),"")</f>
        <v>0.00164669954362894</v>
      </c>
    </row>
    <row r="6" customFormat="false" ht="15" hidden="false" customHeight="false" outlineLevel="0" collapsed="false">
      <c r="A6" s="2" t="str">
        <f aca="false">Coarse_values!A6</f>
        <v>Mass flow, exit plane [kg/s]</v>
      </c>
      <c r="B6" s="9" t="n">
        <f aca="false">IFERROR((Coarse_values!C6-Coarse_values!B6)/ABS(Coarse_values!B6),"")</f>
        <v>0.00468196280296961</v>
      </c>
      <c r="C6" s="9" t="n">
        <f aca="false">IFERROR((Coarse_values!D6-Coarse_values!C6)/ABS(Coarse_values!C6),"")</f>
        <v>0.0100326124270512</v>
      </c>
      <c r="D6" s="9" t="n">
        <f aca="false">IFERROR((Coarse_values!E6-Coarse_values!D6)/ABS(Coarse_values!D6),"")</f>
        <v>0.00382363687345461</v>
      </c>
      <c r="E6" s="9" t="n">
        <f aca="false">IFERROR((Coarse_values!F6-Coarse_values!E6)/ABS(Coarse_values!E6),"")</f>
        <v>-0.00279331973353438</v>
      </c>
      <c r="F6" s="9" t="n">
        <f aca="false">IFERROR((Coarse_values!G6-Coarse_values!F6)/ABS(Coarse_values!F6),"")</f>
        <v>0.0112215535315638</v>
      </c>
      <c r="G6" s="9" t="n">
        <f aca="false">IFERROR((Coarse_values!H6-Coarse_values!G6)/ABS(Coarse_values!G6),"")</f>
        <v>0.00966163299225222</v>
      </c>
    </row>
    <row r="7" customFormat="false" ht="15" hidden="false" customHeight="false" outlineLevel="0" collapsed="false">
      <c r="A7" s="2" t="str">
        <f aca="false">Coarse_values!A7</f>
        <v>Thrust, wall-pressure method [N]</v>
      </c>
      <c r="B7" s="9" t="n">
        <f aca="false">IFERROR((Coarse_values!C7-Coarse_values!B7)/ABS(Coarse_values!B7),"")</f>
        <v>0.00362150222652697</v>
      </c>
      <c r="C7" s="9" t="n">
        <f aca="false">IFERROR((Coarse_values!D7-Coarse_values!C7)/ABS(Coarse_values!C7),"")</f>
        <v>-0.00426986286537457</v>
      </c>
      <c r="D7" s="9" t="n">
        <f aca="false">IFERROR((Coarse_values!E7-Coarse_values!D7)/ABS(Coarse_values!D7),"")</f>
        <v>0.0112263134006581</v>
      </c>
      <c r="E7" s="9" t="n">
        <f aca="false">IFERROR((Coarse_values!F7-Coarse_values!E7)/ABS(Coarse_values!E7),"")</f>
        <v>-0.00583019498659336</v>
      </c>
      <c r="F7" s="9" t="n">
        <f aca="false">IFERROR((Coarse_values!G7-Coarse_values!F7)/ABS(Coarse_values!F7),"")</f>
        <v>-0.00345420300555635</v>
      </c>
      <c r="G7" s="9" t="n">
        <f aca="false">IFERROR((Coarse_values!H7-Coarse_values!G7)/ABS(Coarse_values!G7),"")</f>
        <v>0.00637549845449612</v>
      </c>
    </row>
    <row r="8" customFormat="false" ht="15" hidden="false" customHeight="false" outlineLevel="0" collapsed="false">
      <c r="A8" s="2" t="str">
        <f aca="false">Coarse_values!A8</f>
        <v>Thrust, exit-plane method [N]</v>
      </c>
      <c r="B8" s="9" t="n">
        <f aca="false">IFERROR((Coarse_values!C8-Coarse_values!B8)/ABS(Coarse_values!B8),"")</f>
        <v>0.00739661493173024</v>
      </c>
      <c r="C8" s="9" t="n">
        <f aca="false">IFERROR((Coarse_values!D8-Coarse_values!C8)/ABS(Coarse_values!C8),"")</f>
        <v>0.0104812660304977</v>
      </c>
      <c r="D8" s="9" t="n">
        <f aca="false">IFERROR((Coarse_values!E8-Coarse_values!D8)/ABS(Coarse_values!D8),"")</f>
        <v>0.00397199850775747</v>
      </c>
      <c r="E8" s="9" t="n">
        <f aca="false">IFERROR((Coarse_values!F8-Coarse_values!E8)/ABS(Coarse_values!E8),"")</f>
        <v>0.00144019429265331</v>
      </c>
      <c r="F8" s="9" t="n">
        <f aca="false">IFERROR((Coarse_values!G8-Coarse_values!F8)/ABS(Coarse_values!F8),"")</f>
        <v>0.00864814001935282</v>
      </c>
      <c r="G8" s="9" t="n">
        <f aca="false">IFERROR((Coarse_values!H8-Coarse_values!G8)/ABS(Coarse_values!G8),"")</f>
        <v>0.00716743326064115</v>
      </c>
    </row>
    <row r="9" customFormat="false" ht="15" hidden="false" customHeight="false" outlineLevel="0" collapsed="false">
      <c r="A9" s="2" t="str">
        <f aca="false">Coarse_values!A9</f>
        <v>Specific impulse Isp [s]</v>
      </c>
      <c r="B9" s="9" t="n">
        <f aca="false">IFERROR((Coarse_values!C9-Coarse_values!B9)/ABS(Coarse_values!B9),"")</f>
        <v>0.00270442701716952</v>
      </c>
      <c r="C9" s="9" t="n">
        <f aca="false">IFERROR((Coarse_values!D9-Coarse_values!C9)/ABS(Coarse_values!C9),"")</f>
        <v>0.000439199081060401</v>
      </c>
      <c r="D9" s="9" t="n">
        <f aca="false">IFERROR((Coarse_values!E9-Coarse_values!D9)/ABS(Coarse_values!D9),"")</f>
        <v>0.000151963708814947</v>
      </c>
      <c r="E9" s="9" t="n">
        <f aca="false">IFERROR((Coarse_values!F9-Coarse_values!E9)/ABS(Coarse_values!E9),"")</f>
        <v>0.0042430824812467</v>
      </c>
      <c r="F9" s="9" t="n">
        <f aca="false">IFERROR((Coarse_values!G9-Coarse_values!F9)/ABS(Coarse_values!F9),"")</f>
        <v>-0.00254405872628958</v>
      </c>
      <c r="G9" s="9" t="n">
        <f aca="false">IFERROR((Coarse_values!H9-Coarse_values!G9)/ABS(Coarse_values!G9),"")</f>
        <v>-0.00247189622530209</v>
      </c>
    </row>
    <row r="10" customFormat="false" ht="15" hidden="false" customHeight="false" outlineLevel="0" collapsed="false">
      <c r="A10" s="2" t="str">
        <f aca="false">Coarse_values!A10</f>
        <v>Discharge coefficient Cd [-]</v>
      </c>
      <c r="B10" s="9" t="n">
        <f aca="false">IFERROR((Coarse_values!C10-Coarse_values!B10)/ABS(Coarse_values!B10),"")</f>
        <v>0.00468156040809503</v>
      </c>
      <c r="C10" s="9" t="n">
        <f aca="false">IFERROR((Coarse_values!D10-Coarse_values!C10)/ABS(Coarse_values!C10),"")</f>
        <v>0.0100314692260243</v>
      </c>
      <c r="D10" s="9" t="n">
        <f aca="false">IFERROR((Coarse_values!E10-Coarse_values!D10)/ABS(Coarse_values!D10),"")</f>
        <v>0.00382575032217665</v>
      </c>
      <c r="E10" s="9" t="n">
        <f aca="false">IFERROR((Coarse_values!F10-Coarse_values!E10)/ABS(Coarse_values!E10),"")</f>
        <v>-0.00279341418320215</v>
      </c>
      <c r="F10" s="9" t="n">
        <f aca="false">IFERROR((Coarse_values!G10-Coarse_values!F10)/ABS(Coarse_values!F10),"")</f>
        <v>0.011218399457331</v>
      </c>
      <c r="G10" s="9" t="n">
        <f aca="false">IFERROR((Coarse_values!H10-Coarse_values!G10)/ABS(Coarse_values!G10),"")</f>
        <v>0.00966335726505511</v>
      </c>
    </row>
    <row r="11" customFormat="false" ht="15" hidden="false" customHeight="false" outlineLevel="0" collapsed="false">
      <c r="A11" s="2" t="str">
        <f aca="false">Coarse_values!A11</f>
        <v>Exit-axis Mach [-]</v>
      </c>
      <c r="B11" s="9" t="n">
        <f aca="false">IFERROR((Coarse_values!C11-Coarse_values!B11)/ABS(Coarse_values!B11),"")</f>
        <v>-0.00334168755221387</v>
      </c>
      <c r="C11" s="9" t="n">
        <f aca="false">IFERROR((Coarse_values!D11-Coarse_values!C11)/ABS(Coarse_values!C11),"")</f>
        <v>-0.00293378038558261</v>
      </c>
      <c r="D11" s="9" t="n">
        <f aca="false">IFERROR((Coarse_values!E11-Coarse_values!D11)/ABS(Coarse_values!D11),"")</f>
        <v>-0.00210172341319878</v>
      </c>
      <c r="E11" s="9" t="n">
        <f aca="false">IFERROR((Coarse_values!F11-Coarse_values!E11)/ABS(Coarse_values!E11),"")</f>
        <v>-0.0016849199663016</v>
      </c>
      <c r="F11" s="9" t="n">
        <f aca="false">IFERROR((Coarse_values!G11-Coarse_values!F11)/ABS(Coarse_values!F11),"")</f>
        <v>-0.00168776371308017</v>
      </c>
      <c r="G11" s="9" t="n">
        <f aca="false">IFERROR((Coarse_values!H11-Coarse_values!G11)/ABS(Coarse_values!G11),"")</f>
        <v>-0.00126796280642439</v>
      </c>
    </row>
    <row r="12" customFormat="false" ht="15" hidden="false" customHeight="false" outlineLevel="0" collapsed="false">
      <c r="A12" s="2" t="str">
        <f aca="false">Coarse_values!A12</f>
        <v>Exit-axis temperature [K]</v>
      </c>
      <c r="B12" s="9" t="n">
        <f aca="false">IFERROR((Coarse_values!C12-Coarse_values!B12)/ABS(Coarse_values!B12),"")</f>
        <v>0.00374765771392879</v>
      </c>
      <c r="C12" s="9" t="n">
        <f aca="false">IFERROR((Coarse_values!D12-Coarse_values!C12)/ABS(Coarse_values!C12),"")</f>
        <v>0.00311138767890479</v>
      </c>
      <c r="D12" s="9" t="n">
        <f aca="false">IFERROR((Coarse_values!E12-Coarse_values!D12)/ABS(Coarse_values!D12),"")</f>
        <v>0.00248138957816377</v>
      </c>
      <c r="E12" s="9" t="n">
        <f aca="false">IFERROR((Coarse_values!F12-Coarse_values!E12)/ABS(Coarse_values!E12),"")</f>
        <v>0.00185643564356436</v>
      </c>
      <c r="F12" s="9" t="n">
        <f aca="false">IFERROR((Coarse_values!G12-Coarse_values!F12)/ABS(Coarse_values!F12),"")</f>
        <v>0.00185299567634342</v>
      </c>
      <c r="G12" s="9" t="n">
        <f aca="false">IFERROR((Coarse_values!H12-Coarse_values!G12)/ABS(Coarse_values!G12),"")</f>
        <v>0.00123304562268804</v>
      </c>
    </row>
    <row r="13" customFormat="false" ht="15" hidden="false" customHeight="false" outlineLevel="0" collapsed="false">
      <c r="A13" s="2" t="str">
        <f aca="false">Coarse_values!A13</f>
        <v>Exit-axis pressure [Pa]</v>
      </c>
      <c r="B13" s="9" t="n">
        <f aca="false">IFERROR((Coarse_values!C13-Coarse_values!B13)/ABS(Coarse_values!B13),"")</f>
        <v>0.024488926746167</v>
      </c>
      <c r="C13" s="9" t="n">
        <f aca="false">IFERROR((Coarse_values!D13-Coarse_values!C13)/ABS(Coarse_values!C13),"")</f>
        <v>0.0189149864892954</v>
      </c>
      <c r="D13" s="9" t="n">
        <f aca="false">IFERROR((Coarse_values!E13-Coarse_values!D13)/ABS(Coarse_values!D13),"")</f>
        <v>0.0150448796409629</v>
      </c>
      <c r="E13" s="9" t="n">
        <f aca="false">IFERROR((Coarse_values!F13-Coarse_values!E13)/ABS(Coarse_values!E13),"")</f>
        <v>0.0119077526001105</v>
      </c>
      <c r="F13" s="9" t="n">
        <f aca="false">IFERROR((Coarse_values!G13-Coarse_values!F13)/ABS(Coarse_values!F13),"")</f>
        <v>0.0099304865938431</v>
      </c>
      <c r="G13" s="9" t="n">
        <f aca="false">IFERROR((Coarse_values!H13-Coarse_values!G13)/ABS(Coarse_values!G13),"")</f>
        <v>0.00825958702064897</v>
      </c>
    </row>
    <row r="14" customFormat="false" ht="15" hidden="false" customHeight="false" outlineLevel="0" collapsed="false">
      <c r="A14" s="2" t="str">
        <f aca="false">Coarse_values!A14</f>
        <v>Exit-axis velocity [m/s]</v>
      </c>
      <c r="B14" s="9" t="n">
        <f aca="false">IFERROR((Coarse_values!C14-Coarse_values!B14)/ABS(Coarse_values!B14),"")</f>
        <v>-0.00161446561188247</v>
      </c>
      <c r="C14" s="9" t="n">
        <f aca="false">IFERROR((Coarse_values!D14-Coarse_values!C14)/ABS(Coarse_values!C14),"")</f>
        <v>-0.00134756360500216</v>
      </c>
      <c r="D14" s="9" t="n">
        <f aca="false">IFERROR((Coarse_values!E14-Coarse_values!D14)/ABS(Coarse_values!D14),"")</f>
        <v>-0.00107950558644141</v>
      </c>
      <c r="E14" s="9" t="n">
        <f aca="false">IFERROR((Coarse_values!F14-Coarse_values!E14)/ABS(Coarse_values!E14),"")</f>
        <v>-0.000918571351380583</v>
      </c>
      <c r="F14" s="9" t="n">
        <f aca="false">IFERROR((Coarse_values!G14-Coarse_values!F14)/ABS(Coarse_values!F14),"")</f>
        <v>-0.000757166035695019</v>
      </c>
      <c r="G14" s="9" t="n">
        <f aca="false">IFERROR((Coarse_values!H14-Coarse_values!G14)/ABS(Coarse_values!G14),"")</f>
        <v>-0.000595366962545956</v>
      </c>
    </row>
    <row r="15" customFormat="false" ht="15" hidden="false" customHeight="false" outlineLevel="0" collapsed="false">
      <c r="A15" s="2" t="str">
        <f aca="false">Coarse_values!A15</f>
        <v>Exit-axis density [kg/m3]</v>
      </c>
      <c r="B15" s="9" t="n">
        <f aca="false">IFERROR((Coarse_values!C15-Coarse_values!B15)/ABS(Coarse_values!B15),"")</f>
        <v>0.0206716133010953</v>
      </c>
      <c r="C15" s="9" t="n">
        <f aca="false">IFERROR((Coarse_values!D15-Coarse_values!C15)/ABS(Coarse_values!C15),"")</f>
        <v>0.0159323862614638</v>
      </c>
      <c r="D15" s="9" t="n">
        <f aca="false">IFERROR((Coarse_values!E15-Coarse_values!D15)/ABS(Coarse_values!D15),"")</f>
        <v>0.0125649013499481</v>
      </c>
      <c r="E15" s="9" t="n">
        <f aca="false">IFERROR((Coarse_values!F15-Coarse_values!E15)/ABS(Coarse_values!E15),"")</f>
        <v>0.00992672080252844</v>
      </c>
      <c r="F15" s="9" t="n">
        <f aca="false">IFERROR((Coarse_values!G15-Coarse_values!F15)/ABS(Coarse_values!F15),"")</f>
        <v>0.00828750320214725</v>
      </c>
      <c r="G15" s="9" t="n">
        <f aca="false">IFERROR((Coarse_values!H15-Coarse_values!G15)/ABS(Coarse_values!G15),"")</f>
        <v>0.00688038746240509</v>
      </c>
    </row>
    <row r="16" customFormat="false" ht="15" hidden="false" customHeight="false" outlineLevel="0" collapsed="false">
      <c r="A16" s="2" t="str">
        <f aca="false">Coarse_values!A16</f>
        <v>Exit mass-averaged Mach [-]</v>
      </c>
      <c r="B16" s="9" t="n">
        <f aca="false">IFERROR((Coarse_values!C16-Coarse_values!B16)/ABS(Coarse_values!B16),"")</f>
        <v>0.0045155993431856</v>
      </c>
      <c r="C16" s="9" t="n">
        <f aca="false">IFERROR((Coarse_values!D16-Coarse_values!C16)/ABS(Coarse_values!C16),"")</f>
        <v>0.00694728238659579</v>
      </c>
      <c r="D16" s="9" t="n">
        <f aca="false">IFERROR((Coarse_values!E16-Coarse_values!D16)/ABS(Coarse_values!D16),"")</f>
        <v>-0.00487012987012987</v>
      </c>
      <c r="E16" s="9" t="n">
        <f aca="false">IFERROR((Coarse_values!F16-Coarse_values!E16)/ABS(Coarse_values!E16),"")</f>
        <v>0.0118270799347471</v>
      </c>
      <c r="F16" s="9" t="n">
        <f aca="false">IFERROR((Coarse_values!G16-Coarse_values!F16)/ABS(Coarse_values!F16),"")</f>
        <v>0.000806126561870304</v>
      </c>
      <c r="G16" s="9" t="n">
        <f aca="false">IFERROR((Coarse_values!H16-Coarse_values!G16)/ABS(Coarse_values!G16),"")</f>
        <v>-0.0052356020942408</v>
      </c>
    </row>
    <row r="17" customFormat="false" ht="15" hidden="false" customHeight="false" outlineLevel="0" collapsed="false">
      <c r="A17" s="2" t="str">
        <f aca="false">Coarse_values!A17</f>
        <v>Throat-axis Mach [-]</v>
      </c>
      <c r="B17" s="9" t="n">
        <f aca="false">IFERROR((Coarse_values!C17-Coarse_values!B17)/ABS(Coarse_values!B17),"")</f>
        <v>-0.000829865390952044</v>
      </c>
      <c r="C17" s="9" t="n">
        <f aca="false">IFERROR((Coarse_values!D17-Coarse_values!C17)/ABS(Coarse_values!C17),"")</f>
        <v>-0.000781698484237751</v>
      </c>
      <c r="D17" s="9" t="n">
        <f aca="false">IFERROR((Coarse_values!E17-Coarse_values!D17)/ABS(Coarse_values!D17),"")</f>
        <v>-0.000684521262941736</v>
      </c>
      <c r="E17" s="9" t="n">
        <f aca="false">IFERROR((Coarse_values!F17-Coarse_values!E17)/ABS(Coarse_values!E17),"")</f>
        <v>-0.000562670483040397</v>
      </c>
      <c r="F17" s="9" t="n">
        <f aca="false">IFERROR((Coarse_values!G17-Coarse_values!F17)/ABS(Coarse_values!F17),"")</f>
        <v>-0.000489554138568245</v>
      </c>
      <c r="G17" s="9" t="n">
        <f aca="false">IFERROR((Coarse_values!H17-Coarse_values!G17)/ABS(Coarse_values!G17),"")</f>
        <v>-0.000440814527287677</v>
      </c>
    </row>
    <row r="18" customFormat="false" ht="15" hidden="false" customHeight="false" outlineLevel="0" collapsed="false">
      <c r="A18" s="2" t="str">
        <f aca="false">Coarse_values!A18</f>
        <v>Plume 1st cell: x of axis Mach peak [m]</v>
      </c>
      <c r="B18" s="9" t="n">
        <f aca="false">IFERROR((Coarse_values!C18-Coarse_values!B18)/ABS(Coarse_values!B18),"")</f>
        <v>0.017849263464676</v>
      </c>
      <c r="C18" s="9" t="n">
        <f aca="false">IFERROR((Coarse_values!D18-Coarse_values!C18)/ABS(Coarse_values!C18),"")</f>
        <v>0.0324020364085159</v>
      </c>
      <c r="D18" s="9" t="n">
        <f aca="false">IFERROR((Coarse_values!E18-Coarse_values!D18)/ABS(Coarse_values!D18),"")</f>
        <v>-0.00716822847476779</v>
      </c>
      <c r="E18" s="9" t="n">
        <f aca="false">IFERROR((Coarse_values!F18-Coarse_values!E18)/ABS(Coarse_values!E18),"")</f>
        <v>0.0672886758999768</v>
      </c>
      <c r="F18" s="9" t="n">
        <f aca="false">IFERROR((Coarse_values!G18-Coarse_values!F18)/ABS(Coarse_values!F18),"")</f>
        <v>-0.0106865901485377</v>
      </c>
      <c r="G18" s="9" t="n">
        <f aca="false">IFERROR((Coarse_values!H18-Coarse_values!G18)/ABS(Coarse_values!G18),"")</f>
        <v>0.00335122267598907</v>
      </c>
    </row>
    <row r="19" customFormat="false" ht="15" hidden="false" customHeight="false" outlineLevel="0" collapsed="false">
      <c r="A19" s="2" t="str">
        <f aca="false">Coarse_values!A19</f>
        <v>Plume 1st cell: peak axis Mach [-]</v>
      </c>
      <c r="B19" s="9" t="n">
        <f aca="false">IFERROR((Coarse_values!C19-Coarse_values!B19)/ABS(Coarse_values!B19),"")</f>
        <v>0.0132811321361353</v>
      </c>
      <c r="C19" s="9" t="n">
        <f aca="false">IFERROR((Coarse_values!D19-Coarse_values!C19)/ABS(Coarse_values!C19),"")</f>
        <v>0.0267144736553064</v>
      </c>
      <c r="D19" s="9" t="n">
        <f aca="false">IFERROR((Coarse_values!E19-Coarse_values!D19)/ABS(Coarse_values!D19),"")</f>
        <v>0.00034232897814792</v>
      </c>
      <c r="E19" s="9" t="n">
        <f aca="false">IFERROR((Coarse_values!F19-Coarse_values!E19)/ABS(Coarse_values!E19),"")</f>
        <v>0.0336341945664367</v>
      </c>
      <c r="F19" s="9" t="n">
        <f aca="false">IFERROR((Coarse_values!G19-Coarse_values!F19)/ABS(Coarse_values!F19),"")</f>
        <v>0.00311533642184653</v>
      </c>
      <c r="G19" s="9" t="n">
        <f aca="false">IFERROR((Coarse_values!H19-Coarse_values!G19)/ABS(Coarse_values!G19),"")</f>
        <v>0.000275040110016014</v>
      </c>
    </row>
    <row r="20" customFormat="false" ht="15" hidden="false" customHeight="false" outlineLevel="0" collapsed="false">
      <c r="A20" s="2" t="str">
        <f aca="false">Coarse_values!A20</f>
        <v>Plume 1st cell: axis pressure at peak [Pa]</v>
      </c>
      <c r="B20" s="9" t="n">
        <f aca="false">IFERROR((Coarse_values!C20-Coarse_values!B20)/ABS(Coarse_values!B20),"")</f>
        <v>-0.0601412077698381</v>
      </c>
      <c r="C20" s="9" t="n">
        <f aca="false">IFERROR((Coarse_values!D20-Coarse_values!C20)/ABS(Coarse_values!C20),"")</f>
        <v>-0.132589978316292</v>
      </c>
      <c r="D20" s="9" t="n">
        <f aca="false">IFERROR((Coarse_values!E20-Coarse_values!D20)/ABS(Coarse_values!D20),"")</f>
        <v>0.0111017207981022</v>
      </c>
      <c r="E20" s="9" t="n">
        <f aca="false">IFERROR((Coarse_values!F20-Coarse_values!E20)/ABS(Coarse_values!E20),"")</f>
        <v>-0.16808112698902</v>
      </c>
      <c r="F20" s="9" t="n">
        <f aca="false">IFERROR((Coarse_values!G20-Coarse_values!F20)/ABS(Coarse_values!F20),"")</f>
        <v>-0.0151927192331271</v>
      </c>
      <c r="G20" s="9" t="n">
        <f aca="false">IFERROR((Coarse_values!H20-Coarse_values!G20)/ABS(Coarse_values!G20),"")</f>
        <v>0.007463544040718</v>
      </c>
    </row>
    <row r="21" customFormat="false" ht="15" hidden="false" customHeight="false" outlineLevel="0" collapsed="false">
      <c r="A21" s="2" t="str">
        <f aca="false">Coarse_values!A21</f>
        <v>Plume 1st cell: axis temperature at peak [K]</v>
      </c>
      <c r="B21" s="9" t="n">
        <f aca="false">IFERROR((Coarse_values!C21-Coarse_values!B21)/ABS(Coarse_values!B21),"")</f>
        <v>-0.0214587344123366</v>
      </c>
      <c r="C21" s="9" t="n">
        <f aca="false">IFERROR((Coarse_values!D21-Coarse_values!C21)/ABS(Coarse_values!C21),"")</f>
        <v>-0.0386954377891005</v>
      </c>
      <c r="D21" s="9" t="n">
        <f aca="false">IFERROR((Coarse_values!E21-Coarse_values!D21)/ABS(Coarse_values!D21),"")</f>
        <v>-0.00174962944108273</v>
      </c>
      <c r="E21" s="9" t="n">
        <f aca="false">IFERROR((Coarse_values!F21-Coarse_values!E21)/ABS(Coarse_values!E21),"")</f>
        <v>-0.0511565733183262</v>
      </c>
      <c r="F21" s="9" t="n">
        <f aca="false">IFERROR((Coarse_values!G21-Coarse_values!F21)/ABS(Coarse_values!F21),"")</f>
        <v>-0.00331843093184789</v>
      </c>
      <c r="G21" s="9" t="n">
        <f aca="false">IFERROR((Coarse_values!H21-Coarse_values!G21)/ABS(Coarse_values!G21),"")</f>
        <v>-0.000356778588927141</v>
      </c>
    </row>
    <row r="22" customFormat="false" ht="15" hidden="false" customHeight="false" outlineLevel="0" collapsed="false">
      <c r="A22" s="2" t="str">
        <f aca="false">Coarse_values!A22</f>
        <v>Plume 1st cell: axis density at peak [kg/m3]</v>
      </c>
      <c r="B22" s="9" t="n">
        <f aca="false">IFERROR((Coarse_values!C22-Coarse_values!B22)/ABS(Coarse_values!B22),"")</f>
        <v>-0.0395249796576</v>
      </c>
      <c r="C22" s="9" t="n">
        <f aca="false">IFERROR((Coarse_values!D22-Coarse_values!C22)/ABS(Coarse_values!C22),"")</f>
        <v>-0.0976786824441799</v>
      </c>
      <c r="D22" s="9" t="n">
        <f aca="false">IFERROR((Coarse_values!E22-Coarse_values!D22)/ABS(Coarse_values!D22),"")</f>
        <v>0.0128735417420855</v>
      </c>
      <c r="E22" s="9" t="n">
        <f aca="false">IFERROR((Coarse_values!F22-Coarse_values!E22)/ABS(Coarse_values!E22),"")</f>
        <v>-0.123227655605439</v>
      </c>
      <c r="F22" s="9" t="n">
        <f aca="false">IFERROR((Coarse_values!G22-Coarse_values!F22)/ABS(Coarse_values!F22),"")</f>
        <v>-0.0119136536256429</v>
      </c>
      <c r="G22" s="9" t="n">
        <f aca="false">IFERROR((Coarse_values!H22-Coarse_values!G22)/ABS(Coarse_values!G22),"")</f>
        <v>0.00782260597381995</v>
      </c>
    </row>
    <row r="23" customFormat="false" ht="15" hidden="false" customHeight="false" outlineLevel="0" collapsed="false">
      <c r="A23" s="2" t="str">
        <f aca="false">Coarse_values!A23</f>
        <v>Plume 1st cell: axis velocity at peak [m/s]</v>
      </c>
      <c r="B23" s="9" t="n">
        <f aca="false">IFERROR((Coarse_values!C23-Coarse_values!B23)/ABS(Coarse_values!B23),"")</f>
        <v>0.00298167340417169</v>
      </c>
      <c r="C23" s="9" t="n">
        <f aca="false">IFERROR((Coarse_values!D23-Coarse_values!C23)/ABS(Coarse_values!C23),"")</f>
        <v>0.00780852147343408</v>
      </c>
      <c r="D23" s="9" t="n">
        <f aca="false">IFERROR((Coarse_values!E23-Coarse_values!D23)/ABS(Coarse_values!D23),"")</f>
        <v>-0.000483711448845308</v>
      </c>
      <c r="E23" s="9" t="n">
        <f aca="false">IFERROR((Coarse_values!F23-Coarse_values!E23)/ABS(Coarse_values!E23),"")</f>
        <v>0.00836534431428812</v>
      </c>
      <c r="F23" s="9" t="n">
        <f aca="false">IFERROR((Coarse_values!G23-Coarse_values!F23)/ABS(Coarse_values!F23),"")</f>
        <v>0.00154263456272734</v>
      </c>
      <c r="G23" s="9" t="n">
        <f aca="false">IFERROR((Coarse_values!H23-Coarse_values!G23)/ABS(Coarse_values!G23),"")</f>
        <v>0.000111240892152048</v>
      </c>
    </row>
    <row r="24" customFormat="false" ht="15" hidden="false" customHeight="false" outlineLevel="0" collapsed="false">
      <c r="A24" s="2" t="str">
        <f aca="false">Coarse_values!A24</f>
        <v>Plume 1st cell: end (closing shock) x [m]</v>
      </c>
      <c r="B24" s="9" t="n">
        <f aca="false">IFERROR((Coarse_values!C24-Coarse_values!B24)/ABS(Coarse_values!B24),"")</f>
        <v>0.00884253552386174</v>
      </c>
      <c r="C24" s="9" t="n">
        <f aca="false">IFERROR((Coarse_values!D24-Coarse_values!C24)/ABS(Coarse_values!C24),"")</f>
        <v>0.025134160109824</v>
      </c>
      <c r="D24" s="9" t="n">
        <f aca="false">IFERROR((Coarse_values!E24-Coarse_values!D24)/ABS(Coarse_values!D24),"")</f>
        <v>0.0874732100642393</v>
      </c>
      <c r="E24" s="9" t="n">
        <f aca="false">IFERROR((Coarse_values!F24-Coarse_values!E24)/ABS(Coarse_values!E24),"")</f>
        <v>-0.0213794315393478</v>
      </c>
      <c r="F24" s="9" t="n">
        <f aca="false">IFERROR((Coarse_values!G24-Coarse_values!F24)/ABS(Coarse_values!F24),"")</f>
        <v>-0.0284640279013715</v>
      </c>
      <c r="G24" s="9" t="n">
        <f aca="false">IFERROR((Coarse_values!H24-Coarse_values!G24)/ABS(Coarse_values!G24),"")</f>
        <v>0.000232751727839363</v>
      </c>
    </row>
    <row r="25" customFormat="false" ht="15" hidden="false" customHeight="false" outlineLevel="0" collapsed="false">
      <c r="A25" s="2" t="str">
        <f aca="false">Coarse_values!A25</f>
        <v>Plume 1st cell: length from lip [m]</v>
      </c>
      <c r="B25" s="9" t="n">
        <f aca="false">IFERROR((Coarse_values!C25-Coarse_values!B25)/ABS(Coarse_values!B25),"")</f>
        <v>0.0157676825161462</v>
      </c>
      <c r="C25" s="9" t="n">
        <f aca="false">IFERROR((Coarse_values!D25-Coarse_values!C25)/ABS(Coarse_values!C25),"")</f>
        <v>0.0445127498702139</v>
      </c>
      <c r="D25" s="9" t="n">
        <f aca="false">IFERROR((Coarse_values!E25-Coarse_values!D25)/ABS(Coarse_values!D25),"")</f>
        <v>0.152041474132798</v>
      </c>
      <c r="E25" s="9" t="n">
        <f aca="false">IFERROR((Coarse_values!F25-Coarse_values!E25)/ABS(Coarse_values!E25),"")</f>
        <v>-0.0350779022457632</v>
      </c>
      <c r="F25" s="9" t="n">
        <f aca="false">IFERROR((Coarse_values!G25-Coarse_values!F25)/ABS(Coarse_values!F25),"")</f>
        <v>-0.0473648213443827</v>
      </c>
      <c r="G25" s="9" t="n">
        <f aca="false">IFERROR((Coarse_values!H25-Coarse_values!G25)/ABS(Coarse_values!G25),"")</f>
        <v>0.000394988754437926</v>
      </c>
    </row>
    <row r="26" customFormat="false" ht="15" hidden="false" customHeight="false" outlineLevel="0" collapsed="false">
      <c r="A26" s="2" t="str">
        <f aca="false">Coarse_values!A26</f>
        <v>Plume 1st cell: axis Mach behind closing shock [-]</v>
      </c>
      <c r="B26" s="9" t="n">
        <f aca="false">IFERROR((Coarse_values!C26-Coarse_values!B26)/ABS(Coarse_values!B26),"")</f>
        <v>-0.0687072457027693</v>
      </c>
      <c r="C26" s="9" t="n">
        <f aca="false">IFERROR((Coarse_values!D26-Coarse_values!C26)/ABS(Coarse_values!C26),"")</f>
        <v>-0.0424907662695729</v>
      </c>
      <c r="D26" s="9" t="n">
        <f aca="false">IFERROR((Coarse_values!E26-Coarse_values!D26)/ABS(Coarse_values!D26),"")</f>
        <v>-0.259597309602199</v>
      </c>
      <c r="E26" s="9" t="n">
        <f aca="false">IFERROR((Coarse_values!F26-Coarse_values!E26)/ABS(Coarse_values!E26),"")</f>
        <v>0.252942471382448</v>
      </c>
      <c r="F26" s="9" t="n">
        <f aca="false">IFERROR((Coarse_values!G26-Coarse_values!F26)/ABS(Coarse_values!F26),"")</f>
        <v>0.25705852381538</v>
      </c>
      <c r="G26" s="9" t="n">
        <f aca="false">IFERROR((Coarse_values!H26-Coarse_values!G26)/ABS(Coarse_values!G26),"")</f>
        <v>-0.327020554965431</v>
      </c>
    </row>
    <row r="27" customFormat="false" ht="15" hidden="false" customHeight="false" outlineLevel="0" collapsed="false">
      <c r="A27" s="2" t="str">
        <f aca="false">Coarse_values!A27</f>
        <v>Plume 1st cell: axis pressure behind closing shock [Pa]</v>
      </c>
      <c r="B27" s="9" t="n">
        <f aca="false">IFERROR((Coarse_values!C27-Coarse_values!B27)/ABS(Coarse_values!B27),"")</f>
        <v>0.185479032243176</v>
      </c>
      <c r="C27" s="9" t="n">
        <f aca="false">IFERROR((Coarse_values!D27-Coarse_values!C27)/ABS(Coarse_values!C27),"")</f>
        <v>0.065551112893367</v>
      </c>
      <c r="D27" s="9" t="n">
        <f aca="false">IFERROR((Coarse_values!E27-Coarse_values!D27)/ABS(Coarse_values!D27),"")</f>
        <v>0.0958054733457562</v>
      </c>
      <c r="E27" s="9" t="n">
        <f aca="false">IFERROR((Coarse_values!F27-Coarse_values!E27)/ABS(Coarse_values!E27),"")</f>
        <v>-0.284717799613885</v>
      </c>
      <c r="F27" s="9" t="n">
        <f aca="false">IFERROR((Coarse_values!G27-Coarse_values!F27)/ABS(Coarse_values!F27),"")</f>
        <v>-0.0816843106269316</v>
      </c>
      <c r="G27" s="9" t="n">
        <f aca="false">IFERROR((Coarse_values!H27-Coarse_values!G27)/ABS(Coarse_values!G27),"")</f>
        <v>0.673966233159728</v>
      </c>
    </row>
    <row r="28" customFormat="false" ht="15" hidden="false" customHeight="false" outlineLevel="0" collapsed="false">
      <c r="A28" s="2" t="str">
        <f aca="false">Coarse_values!A28</f>
        <v>Plume 1st cell: axis temperature behind closing shock [K]</v>
      </c>
      <c r="B28" s="9" t="n">
        <f aca="false">IFERROR((Coarse_values!C28-Coarse_values!B28)/ABS(Coarse_values!B28),"")</f>
        <v>0.0403311568156198</v>
      </c>
      <c r="C28" s="9" t="n">
        <f aca="false">IFERROR((Coarse_values!D28-Coarse_values!C28)/ABS(Coarse_values!C28),"")</f>
        <v>0.0265009992180034</v>
      </c>
      <c r="D28" s="9" t="n">
        <f aca="false">IFERROR((Coarse_values!E28-Coarse_values!D28)/ABS(Coarse_values!D28),"")</f>
        <v>0.0900725958234996</v>
      </c>
      <c r="E28" s="9" t="n">
        <f aca="false">IFERROR((Coarse_values!F28-Coarse_values!E28)/ABS(Coarse_values!E28),"")</f>
        <v>-0.093843638091062</v>
      </c>
      <c r="F28" s="9" t="n">
        <f aca="false">IFERROR((Coarse_values!G28-Coarse_values!F28)/ABS(Coarse_values!F28),"")</f>
        <v>-0.0702227509413609</v>
      </c>
      <c r="G28" s="9" t="n">
        <f aca="false">IFERROR((Coarse_values!H28-Coarse_values!G28)/ABS(Coarse_values!G28),"")</f>
        <v>0.202399540259797</v>
      </c>
    </row>
    <row r="29" customFormat="false" ht="15" hidden="false" customHeight="false" outlineLevel="0" collapsed="false">
      <c r="A29" s="2" t="str">
        <f aca="false">Coarse_values!A29</f>
        <v>Plume 1st cell: axis density behind closing shock [kg/m3]</v>
      </c>
      <c r="B29" s="9" t="n">
        <f aca="false">IFERROR((Coarse_values!C29-Coarse_values!B29)/ABS(Coarse_values!B29),"")</f>
        <v>0.139523294579631</v>
      </c>
      <c r="C29" s="9" t="n">
        <f aca="false">IFERROR((Coarse_values!D29-Coarse_values!C29)/ABS(Coarse_values!C29),"")</f>
        <v>-0.0720436267585616</v>
      </c>
      <c r="D29" s="9" t="n">
        <f aca="false">IFERROR((Coarse_values!E29-Coarse_values!D29)/ABS(Coarse_values!D29),"")</f>
        <v>0.107180726979684</v>
      </c>
      <c r="E29" s="9" t="n">
        <f aca="false">IFERROR((Coarse_values!F29-Coarse_values!E29)/ABS(Coarse_values!E29),"")</f>
        <v>-0.212670684782239</v>
      </c>
      <c r="F29" s="9" t="n">
        <f aca="false">IFERROR((Coarse_values!G29-Coarse_values!F29)/ABS(Coarse_values!F29),"")</f>
        <v>-0.0255092662673269</v>
      </c>
      <c r="G29" s="9" t="n">
        <f aca="false">IFERROR((Coarse_values!H29-Coarse_values!G29)/ABS(Coarse_values!G29),"")</f>
        <v>0.392117212703221</v>
      </c>
    </row>
    <row r="30" customFormat="false" ht="15" hidden="false" customHeight="false" outlineLevel="0" collapsed="false">
      <c r="A30" s="2" t="str">
        <f aca="false">Coarse_values!A30</f>
        <v>Plume 1st cell: pressure ratio across closing shock [-]</v>
      </c>
      <c r="B30" s="9" t="n">
        <f aca="false">IFERROR((Coarse_values!C30-Coarse_values!B30)/ABS(Coarse_values!B30),"")</f>
        <v>0.261337386045184</v>
      </c>
      <c r="C30" s="9" t="n">
        <f aca="false">IFERROR((Coarse_values!D30-Coarse_values!C30)/ABS(Coarse_values!C30),"")</f>
        <v>0.22842840900668</v>
      </c>
      <c r="D30" s="9" t="n">
        <f aca="false">IFERROR((Coarse_values!E30-Coarse_values!D30)/ABS(Coarse_values!D30),"")</f>
        <v>0.0837737200969193</v>
      </c>
      <c r="E30" s="9" t="n">
        <f aca="false">IFERROR((Coarse_values!F30-Coarse_values!E30)/ABS(Coarse_values!E30),"")</f>
        <v>-0.140201979314064</v>
      </c>
      <c r="F30" s="9" t="n">
        <f aca="false">IFERROR((Coarse_values!G30-Coarse_values!F30)/ABS(Coarse_values!F30),"")</f>
        <v>-0.0675173637445363</v>
      </c>
      <c r="G30" s="9" t="n">
        <f aca="false">IFERROR((Coarse_values!H30-Coarse_values!G30)/ABS(Coarse_values!G30),"")</f>
        <v>0.661565069090055</v>
      </c>
    </row>
    <row r="31" customFormat="false" ht="15" hidden="false" customHeight="false" outlineLevel="0" collapsed="false">
      <c r="A31" s="2" t="str">
        <f aca="false">Coarse_values!A31</f>
        <v>Final relative residual [-]</v>
      </c>
      <c r="B31" s="9" t="n">
        <f aca="false">IFERROR((Coarse_values!C31-Coarse_values!B31)/ABS(Coarse_values!B31),"")</f>
        <v>0.463814051769678</v>
      </c>
      <c r="C31" s="9" t="n">
        <f aca="false">IFERROR((Coarse_values!D31-Coarse_values!C31)/ABS(Coarse_values!C31),"")</f>
        <v>0.191627571273908</v>
      </c>
      <c r="D31" s="9" t="n">
        <f aca="false">IFERROR((Coarse_values!E31-Coarse_values!D31)/ABS(Coarse_values!D31),"")</f>
        <v>0.279830405814658</v>
      </c>
      <c r="E31" s="9" t="n">
        <f aca="false">IFERROR((Coarse_values!F31-Coarse_values!E31)/ABS(Coarse_values!E31),"")</f>
        <v>-0.256270705158542</v>
      </c>
      <c r="F31" s="9" t="n">
        <f aca="false">IFERROR((Coarse_values!G31-Coarse_values!F31)/ABS(Coarse_values!F31),"")</f>
        <v>0.0203627107858734</v>
      </c>
      <c r="G31" s="9" t="n">
        <f aca="false">IFERROR((Coarse_values!H31-Coarse_values!G31)/ABS(Coarse_values!G31),"")</f>
        <v>0.471468662301216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3" t="s">
        <v>53</v>
      </c>
    </row>
    <row r="3" customFormat="false" ht="15" hidden="false" customHeight="false" outlineLevel="0" collapsed="false">
      <c r="A3" s="4" t="s">
        <v>54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</row>
    <row r="4" customFormat="false" ht="15" hidden="false" customHeight="false" outlineLevel="0" collapsed="false">
      <c r="A4" s="2" t="s">
        <v>55</v>
      </c>
      <c r="B4" s="10" t="n">
        <v>0.0884</v>
      </c>
      <c r="C4" s="10" t="n">
        <v>0.0826</v>
      </c>
      <c r="D4" s="10" t="n">
        <v>0.0672</v>
      </c>
      <c r="E4" s="10" t="n">
        <v>0.0532</v>
      </c>
      <c r="F4" s="10" t="n">
        <v>0.0545</v>
      </c>
      <c r="G4" s="10" t="n">
        <v>0.0347</v>
      </c>
    </row>
    <row r="5" customFormat="false" ht="15" hidden="false" customHeight="false" outlineLevel="0" collapsed="false">
      <c r="A5" s="2" t="s">
        <v>56</v>
      </c>
      <c r="B5" s="10" t="n">
        <v>0.2008</v>
      </c>
      <c r="C5" s="10" t="n">
        <v>0.1585</v>
      </c>
      <c r="D5" s="10" t="n">
        <v>0.1283</v>
      </c>
      <c r="E5" s="10" t="n">
        <v>0.0911</v>
      </c>
      <c r="F5" s="10" t="n">
        <v>0.0919</v>
      </c>
      <c r="G5" s="10" t="n">
        <v>0.0781</v>
      </c>
    </row>
    <row r="6" customFormat="false" ht="15" hidden="false" customHeight="false" outlineLevel="0" collapsed="false">
      <c r="A6" s="2" t="s">
        <v>57</v>
      </c>
      <c r="B6" s="10" t="n">
        <v>0.1212</v>
      </c>
      <c r="C6" s="10" t="n">
        <v>0.1037</v>
      </c>
      <c r="D6" s="10" t="n">
        <v>0.0814</v>
      </c>
      <c r="E6" s="10" t="n">
        <v>0.0606</v>
      </c>
      <c r="F6" s="10" t="n">
        <v>0.0671</v>
      </c>
      <c r="G6" s="10" t="n">
        <v>0.0479</v>
      </c>
    </row>
    <row r="7" customFormat="false" ht="15" hidden="false" customHeight="false" outlineLevel="0" collapsed="false">
      <c r="A7" s="2" t="s">
        <v>58</v>
      </c>
      <c r="B7" s="10" t="n">
        <v>0.2318</v>
      </c>
      <c r="C7" s="10" t="n">
        <v>0.1822</v>
      </c>
      <c r="D7" s="10" t="n">
        <v>0.1468</v>
      </c>
      <c r="E7" s="10" t="n">
        <v>0.103</v>
      </c>
      <c r="F7" s="10" t="n">
        <v>0.1048</v>
      </c>
      <c r="G7" s="10" t="n">
        <v>0.0887</v>
      </c>
    </row>
    <row r="8" customFormat="false" ht="15" hidden="false" customHeight="false" outlineLevel="0" collapsed="false">
      <c r="A8" s="2" t="s">
        <v>59</v>
      </c>
      <c r="B8" s="10" t="n">
        <v>0.09</v>
      </c>
      <c r="C8" s="10" t="n">
        <v>0.0807</v>
      </c>
      <c r="D8" s="10" t="n">
        <v>0.0724</v>
      </c>
      <c r="E8" s="10" t="n">
        <v>0.0549</v>
      </c>
      <c r="F8" s="10" t="n">
        <v>0.0563</v>
      </c>
      <c r="G8" s="10" t="n">
        <v>0.0386</v>
      </c>
    </row>
    <row r="9" customFormat="false" ht="15" hidden="false" customHeight="false" outlineLevel="0" collapsed="false">
      <c r="A9" s="2" t="s">
        <v>60</v>
      </c>
      <c r="B9" s="10" t="n">
        <v>1.07</v>
      </c>
      <c r="C9" s="10" t="n">
        <v>2.0589</v>
      </c>
      <c r="D9" s="10" t="n">
        <v>2.1006</v>
      </c>
      <c r="E9" s="10" t="n">
        <v>2.4959</v>
      </c>
      <c r="F9" s="10" t="n">
        <v>2.3636</v>
      </c>
      <c r="G9" s="10" t="n">
        <v>1.3051</v>
      </c>
    </row>
    <row r="10" customFormat="false" ht="15" hidden="false" customHeight="false" outlineLevel="0" collapsed="false">
      <c r="A10" s="2" t="s">
        <v>61</v>
      </c>
      <c r="B10" s="10" t="n">
        <v>2.3618</v>
      </c>
      <c r="C10" s="10" t="n">
        <v>4.1043</v>
      </c>
      <c r="D10" s="10" t="n">
        <v>4.3856</v>
      </c>
      <c r="E10" s="10" t="n">
        <v>4.7991</v>
      </c>
      <c r="F10" s="10" t="n">
        <v>4.7868</v>
      </c>
      <c r="G10" s="10" t="n">
        <v>2.8166</v>
      </c>
    </row>
    <row r="11" customFormat="false" ht="15" hidden="false" customHeight="false" outlineLevel="0" collapsed="false">
      <c r="A11" s="2" t="s">
        <v>62</v>
      </c>
      <c r="B11" s="10" t="n">
        <v>2.3369</v>
      </c>
      <c r="C11" s="10" t="n">
        <v>4.3076</v>
      </c>
      <c r="D11" s="10" t="n">
        <v>4.2593</v>
      </c>
      <c r="E11" s="10" t="n">
        <v>4.1306</v>
      </c>
      <c r="F11" s="10" t="n">
        <v>3.4349</v>
      </c>
      <c r="G11" s="10" t="n">
        <v>2.0863</v>
      </c>
    </row>
    <row r="12" customFormat="false" ht="15" hidden="false" customHeight="false" outlineLevel="0" collapsed="false">
      <c r="A12" s="2" t="s">
        <v>63</v>
      </c>
      <c r="B12" s="10" t="n">
        <v>1.9361</v>
      </c>
      <c r="C12" s="10" t="n">
        <v>4.0081</v>
      </c>
      <c r="D12" s="10" t="n">
        <v>3.9951</v>
      </c>
      <c r="E12" s="10" t="n">
        <v>4.4598</v>
      </c>
      <c r="F12" s="10" t="n">
        <v>4.7952</v>
      </c>
      <c r="G12" s="10" t="n">
        <v>4.7393</v>
      </c>
    </row>
    <row r="13" customFormat="false" ht="15" hidden="false" customHeight="false" outlineLevel="0" collapsed="false">
      <c r="A13" s="2" t="s">
        <v>64</v>
      </c>
      <c r="B13" s="10" t="n">
        <v>0.9872</v>
      </c>
      <c r="C13" s="10" t="n">
        <v>1.9021</v>
      </c>
      <c r="D13" s="10" t="n">
        <v>2.079</v>
      </c>
      <c r="E13" s="10" t="n">
        <v>2.3461</v>
      </c>
      <c r="F13" s="10" t="n">
        <v>2.269</v>
      </c>
      <c r="G13" s="10" t="n">
        <v>1.3911</v>
      </c>
    </row>
    <row r="14" customFormat="false" ht="15" hidden="false" customHeight="false" outlineLevel="0" collapsed="false">
      <c r="A14" s="2" t="s">
        <v>65</v>
      </c>
      <c r="B14" s="10" t="n">
        <v>3.9869</v>
      </c>
      <c r="C14" s="10" t="n">
        <v>2.7551</v>
      </c>
      <c r="D14" s="10" t="n">
        <v>3.3418</v>
      </c>
      <c r="E14" s="10" t="n">
        <v>7.4928</v>
      </c>
      <c r="F14" s="10" t="n">
        <v>4.8699</v>
      </c>
      <c r="G14" s="10" t="n">
        <v>7.5816</v>
      </c>
    </row>
    <row r="15" customFormat="false" ht="15" hidden="false" customHeight="false" outlineLevel="0" collapsed="false">
      <c r="A15" s="2" t="s">
        <v>66</v>
      </c>
      <c r="B15" s="10" t="n">
        <v>9.4503</v>
      </c>
      <c r="C15" s="10" t="n">
        <v>5.5025</v>
      </c>
      <c r="D15" s="10" t="n">
        <v>6.2814</v>
      </c>
      <c r="E15" s="10" t="n">
        <v>15.3844</v>
      </c>
      <c r="F15" s="10" t="n">
        <v>6.6137</v>
      </c>
      <c r="G15" s="10" t="n">
        <v>22.0708</v>
      </c>
    </row>
    <row r="16" customFormat="false" ht="15" hidden="false" customHeight="false" outlineLevel="0" collapsed="false">
      <c r="A16" s="2" t="s">
        <v>67</v>
      </c>
      <c r="B16" s="10" t="n">
        <v>7.1535</v>
      </c>
      <c r="C16" s="10" t="n">
        <v>5.2995</v>
      </c>
      <c r="D16" s="10" t="n">
        <v>5.44</v>
      </c>
      <c r="E16" s="10" t="n">
        <v>11.7092</v>
      </c>
      <c r="F16" s="10" t="n">
        <v>6.9428</v>
      </c>
      <c r="G16" s="10" t="n">
        <v>10.1612</v>
      </c>
    </row>
    <row r="17" customFormat="false" ht="15" hidden="false" customHeight="false" outlineLevel="0" collapsed="false">
      <c r="A17" s="2" t="s">
        <v>68</v>
      </c>
      <c r="B17" s="10" t="n">
        <v>11.7019</v>
      </c>
      <c r="C17" s="10" t="n">
        <v>6.9271</v>
      </c>
      <c r="D17" s="10" t="n">
        <v>5.8951</v>
      </c>
      <c r="E17" s="10" t="n">
        <v>13.1358</v>
      </c>
      <c r="F17" s="10" t="n">
        <v>9.2814</v>
      </c>
      <c r="G17" s="10" t="n">
        <v>26.101</v>
      </c>
    </row>
    <row r="18" customFormat="false" ht="15" hidden="false" customHeight="false" outlineLevel="0" collapsed="false">
      <c r="A18" s="2" t="s">
        <v>69</v>
      </c>
      <c r="B18" s="10" t="n">
        <v>4.6068</v>
      </c>
      <c r="C18" s="10" t="n">
        <v>2.9754</v>
      </c>
      <c r="D18" s="10" t="n">
        <v>3.7252</v>
      </c>
      <c r="E18" s="10" t="n">
        <v>9.0079</v>
      </c>
      <c r="F18" s="10" t="n">
        <v>5.8823</v>
      </c>
      <c r="G18" s="10" t="n">
        <v>10.2004</v>
      </c>
    </row>
    <row r="20" customFormat="false" ht="15" hidden="false" customHeight="false" outlineLevel="0" collapsed="false">
      <c r="A20" s="8" t="s">
        <v>70</v>
      </c>
    </row>
    <row r="21" customFormat="false" ht="15" hidden="false" customHeight="false" outlineLevel="0" collapsed="false">
      <c r="A21" s="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3" t="s">
        <v>72</v>
      </c>
    </row>
    <row r="3" customFormat="false" ht="23.85" hidden="false" customHeight="false" outlineLevel="0" collapsed="false">
      <c r="A3" s="4" t="s">
        <v>9</v>
      </c>
      <c r="B3" s="4" t="s">
        <v>73</v>
      </c>
      <c r="C3" s="4" t="s">
        <v>74</v>
      </c>
      <c r="D3" s="4" t="s">
        <v>75</v>
      </c>
      <c r="E3" s="4" t="s">
        <v>76</v>
      </c>
      <c r="F3" s="4" t="s">
        <v>77</v>
      </c>
      <c r="G3" s="4" t="s">
        <v>78</v>
      </c>
      <c r="H3" s="4" t="s">
        <v>79</v>
      </c>
      <c r="I3" s="4" t="s">
        <v>80</v>
      </c>
    </row>
    <row r="4" customFormat="false" ht="15" hidden="false" customHeight="false" outlineLevel="0" collapsed="false">
      <c r="A4" s="2" t="s">
        <v>17</v>
      </c>
      <c r="B4" s="5" t="n">
        <v>14355</v>
      </c>
      <c r="C4" s="5" t="n">
        <v>17700</v>
      </c>
      <c r="D4" s="5" t="n">
        <v>21395</v>
      </c>
      <c r="E4" s="5" t="n">
        <v>25500</v>
      </c>
      <c r="F4" s="5" t="n">
        <v>29900</v>
      </c>
      <c r="G4" s="5" t="n">
        <v>34720</v>
      </c>
      <c r="H4" s="5" t="n">
        <v>39825</v>
      </c>
      <c r="I4" s="5" t="n">
        <v>45280</v>
      </c>
    </row>
    <row r="5" customFormat="false" ht="15" hidden="false" customHeight="false" outlineLevel="0" collapsed="false">
      <c r="A5" s="2" t="s">
        <v>18</v>
      </c>
      <c r="B5" s="6" t="n">
        <v>2337.43</v>
      </c>
      <c r="C5" s="6" t="n">
        <v>2342.26</v>
      </c>
      <c r="D5" s="6" t="n">
        <v>2346.32</v>
      </c>
      <c r="E5" s="6" t="n">
        <v>2349.8</v>
      </c>
      <c r="F5" s="6" t="n">
        <v>2352.78</v>
      </c>
      <c r="G5" s="6" t="n">
        <v>2355.39</v>
      </c>
      <c r="H5" s="6" t="n">
        <v>2357.68</v>
      </c>
      <c r="I5" s="6" t="n">
        <v>2359.7</v>
      </c>
    </row>
    <row r="6" customFormat="false" ht="15" hidden="false" customHeight="false" outlineLevel="0" collapsed="false">
      <c r="A6" s="2" t="s">
        <v>19</v>
      </c>
      <c r="B6" s="6" t="n">
        <v>2365.21</v>
      </c>
      <c r="C6" s="6" t="n">
        <v>2397.48</v>
      </c>
      <c r="D6" s="6" t="n">
        <v>2422.95</v>
      </c>
      <c r="E6" s="6" t="n">
        <v>2411.42</v>
      </c>
      <c r="F6" s="6" t="n">
        <v>2413.67</v>
      </c>
      <c r="G6" s="6" t="n">
        <v>2450.41</v>
      </c>
      <c r="H6" s="6" t="n">
        <v>2479.99</v>
      </c>
      <c r="I6" s="6" t="n">
        <v>2418.75</v>
      </c>
    </row>
    <row r="7" customFormat="false" ht="15" hidden="false" customHeight="false" outlineLevel="0" collapsed="false">
      <c r="A7" s="2" t="s">
        <v>20</v>
      </c>
      <c r="B7" s="6" t="n">
        <v>4279100</v>
      </c>
      <c r="C7" s="6" t="n">
        <v>4255240</v>
      </c>
      <c r="D7" s="6" t="n">
        <v>4295960</v>
      </c>
      <c r="E7" s="6" t="n">
        <v>4352360</v>
      </c>
      <c r="F7" s="6" t="n">
        <v>4362080</v>
      </c>
      <c r="G7" s="6" t="n">
        <v>4309560</v>
      </c>
      <c r="H7" s="6" t="n">
        <v>4379080</v>
      </c>
      <c r="I7" s="6" t="n">
        <v>4391740</v>
      </c>
    </row>
    <row r="8" customFormat="false" ht="15" hidden="false" customHeight="false" outlineLevel="0" collapsed="false">
      <c r="A8" s="2" t="s">
        <v>21</v>
      </c>
      <c r="B8" s="6" t="n">
        <v>4137630</v>
      </c>
      <c r="C8" s="6" t="n">
        <v>4181430</v>
      </c>
      <c r="D8" s="6" t="n">
        <v>4216670</v>
      </c>
      <c r="E8" s="6" t="n">
        <v>4213340</v>
      </c>
      <c r="F8" s="6" t="n">
        <v>4224630</v>
      </c>
      <c r="G8" s="6" t="n">
        <v>4263150</v>
      </c>
      <c r="H8" s="6" t="n">
        <v>4315040</v>
      </c>
      <c r="I8" s="6" t="n">
        <v>4256870</v>
      </c>
    </row>
    <row r="9" customFormat="false" ht="15" hidden="false" customHeight="false" outlineLevel="0" collapsed="false">
      <c r="A9" s="2" t="s">
        <v>22</v>
      </c>
      <c r="B9" s="6" t="n">
        <v>178.386</v>
      </c>
      <c r="C9" s="6" t="n">
        <v>177.848</v>
      </c>
      <c r="D9" s="6" t="n">
        <v>177.462</v>
      </c>
      <c r="E9" s="6" t="n">
        <v>178.17</v>
      </c>
      <c r="F9" s="6" t="n">
        <v>178.481</v>
      </c>
      <c r="G9" s="6" t="n">
        <v>177.407</v>
      </c>
      <c r="H9" s="6" t="n">
        <v>177.425</v>
      </c>
      <c r="I9" s="6" t="n">
        <v>179.465</v>
      </c>
    </row>
    <row r="10" customFormat="false" ht="15" hidden="false" customHeight="false" outlineLevel="0" collapsed="false">
      <c r="A10" s="2" t="s">
        <v>23</v>
      </c>
      <c r="B10" s="6" t="n">
        <v>0.970777</v>
      </c>
      <c r="C10" s="6" t="n">
        <v>0.984022</v>
      </c>
      <c r="D10" s="6" t="n">
        <v>0.994474</v>
      </c>
      <c r="E10" s="6" t="n">
        <v>0.989742</v>
      </c>
      <c r="F10" s="6" t="n">
        <v>0.990665</v>
      </c>
      <c r="G10" s="6" t="n">
        <v>1.00574</v>
      </c>
      <c r="H10" s="6" t="n">
        <v>1.01789</v>
      </c>
      <c r="I10" s="6" t="n">
        <v>0.992752</v>
      </c>
    </row>
    <row r="11" customFormat="false" ht="15" hidden="false" customHeight="false" outlineLevel="0" collapsed="false">
      <c r="A11" s="2" t="s">
        <v>24</v>
      </c>
      <c r="B11" s="6" t="n">
        <v>2.368</v>
      </c>
      <c r="C11" s="6" t="n">
        <v>2.364</v>
      </c>
      <c r="D11" s="6" t="n">
        <v>2.36</v>
      </c>
      <c r="E11" s="6" t="n">
        <v>2.358</v>
      </c>
      <c r="F11" s="6" t="n">
        <v>2.356</v>
      </c>
      <c r="G11" s="6" t="n">
        <v>2.354</v>
      </c>
      <c r="H11" s="6" t="n">
        <v>2.352</v>
      </c>
      <c r="I11" s="6" t="n">
        <v>2.351</v>
      </c>
    </row>
    <row r="12" customFormat="false" ht="15" hidden="false" customHeight="false" outlineLevel="0" collapsed="false">
      <c r="A12" s="2" t="s">
        <v>25</v>
      </c>
      <c r="B12" s="6" t="n">
        <v>1621</v>
      </c>
      <c r="C12" s="6" t="n">
        <v>1624</v>
      </c>
      <c r="D12" s="6" t="n">
        <v>1626</v>
      </c>
      <c r="E12" s="6" t="n">
        <v>1628</v>
      </c>
      <c r="F12" s="6" t="n">
        <v>1630</v>
      </c>
      <c r="G12" s="6" t="n">
        <v>1631</v>
      </c>
      <c r="H12" s="6" t="n">
        <v>1632</v>
      </c>
      <c r="I12" s="6" t="n">
        <v>1633</v>
      </c>
    </row>
    <row r="13" customFormat="false" ht="15" hidden="false" customHeight="false" outlineLevel="0" collapsed="false">
      <c r="A13" s="2" t="s">
        <v>26</v>
      </c>
      <c r="B13" s="6" t="n">
        <v>202780</v>
      </c>
      <c r="C13" s="6" t="n">
        <v>205000</v>
      </c>
      <c r="D13" s="6" t="n">
        <v>206800</v>
      </c>
      <c r="E13" s="6" t="n">
        <v>208290</v>
      </c>
      <c r="F13" s="6" t="n">
        <v>209530</v>
      </c>
      <c r="G13" s="6" t="n">
        <v>210590</v>
      </c>
      <c r="H13" s="6" t="n">
        <v>211500</v>
      </c>
      <c r="I13" s="6" t="n">
        <v>212300</v>
      </c>
    </row>
    <row r="14" customFormat="false" ht="15" hidden="false" customHeight="false" outlineLevel="0" collapsed="false">
      <c r="A14" s="2" t="s">
        <v>27</v>
      </c>
      <c r="B14" s="6" t="n">
        <v>1848.3</v>
      </c>
      <c r="C14" s="6" t="n">
        <v>1846.7</v>
      </c>
      <c r="D14" s="6" t="n">
        <v>1845.5</v>
      </c>
      <c r="E14" s="6" t="n">
        <v>1844.6</v>
      </c>
      <c r="F14" s="6" t="n">
        <v>1843.8</v>
      </c>
      <c r="G14" s="6" t="n">
        <v>1843.1</v>
      </c>
      <c r="H14" s="6" t="n">
        <v>1842.5</v>
      </c>
      <c r="I14" s="6" t="n">
        <v>1842</v>
      </c>
    </row>
    <row r="15" customFormat="false" ht="15" hidden="false" customHeight="false" outlineLevel="0" collapsed="false">
      <c r="A15" s="2" t="s">
        <v>28</v>
      </c>
      <c r="B15" s="6" t="n">
        <v>0.435856</v>
      </c>
      <c r="C15" s="6" t="n">
        <v>0.439832</v>
      </c>
      <c r="D15" s="6" t="n">
        <v>0.443042</v>
      </c>
      <c r="E15" s="6" t="n">
        <v>0.445684</v>
      </c>
      <c r="F15" s="6" t="n">
        <v>0.447891</v>
      </c>
      <c r="G15" s="6" t="n">
        <v>0.449767</v>
      </c>
      <c r="H15" s="6" t="n">
        <v>0.451382</v>
      </c>
      <c r="I15" s="6" t="n">
        <v>0.452788</v>
      </c>
    </row>
    <row r="16" customFormat="false" ht="15" hidden="false" customHeight="false" outlineLevel="0" collapsed="false">
      <c r="A16" s="2" t="s">
        <v>29</v>
      </c>
      <c r="B16" s="6" t="n">
        <v>2.476</v>
      </c>
      <c r="C16" s="6" t="n">
        <v>2.48</v>
      </c>
      <c r="D16" s="6" t="n">
        <v>2.462</v>
      </c>
      <c r="E16" s="6" t="n">
        <v>2.452</v>
      </c>
      <c r="F16" s="6" t="n">
        <v>2.455</v>
      </c>
      <c r="G16" s="6" t="n">
        <v>2.464</v>
      </c>
      <c r="H16" s="6" t="n">
        <v>2.429</v>
      </c>
      <c r="I16" s="6" t="n">
        <v>2.457</v>
      </c>
    </row>
    <row r="17" customFormat="false" ht="15" hidden="false" customHeight="false" outlineLevel="0" collapsed="false">
      <c r="A17" s="2" t="s">
        <v>30</v>
      </c>
      <c r="B17" s="6" t="n">
        <v>0.81663</v>
      </c>
      <c r="C17" s="6" t="n">
        <v>0.81618</v>
      </c>
      <c r="D17" s="6" t="n">
        <v>0.8158</v>
      </c>
      <c r="E17" s="6" t="n">
        <v>0.81549</v>
      </c>
      <c r="F17" s="6" t="n">
        <v>0.81522</v>
      </c>
      <c r="G17" s="6" t="n">
        <v>0.81499</v>
      </c>
      <c r="H17" s="6" t="n">
        <v>0.81479</v>
      </c>
      <c r="I17" s="6" t="n">
        <v>0.81459</v>
      </c>
    </row>
    <row r="18" customFormat="false" ht="15" hidden="false" customHeight="false" outlineLevel="0" collapsed="false">
      <c r="A18" s="2" t="s">
        <v>31</v>
      </c>
      <c r="B18" s="6" t="n">
        <v>7.32495</v>
      </c>
      <c r="C18" s="6" t="n">
        <v>6.92917</v>
      </c>
      <c r="D18" s="6" t="n">
        <v>7.05095</v>
      </c>
      <c r="E18" s="6" t="n">
        <v>7.3457</v>
      </c>
      <c r="F18" s="6" t="n">
        <v>7.1001</v>
      </c>
      <c r="G18" s="6" t="n">
        <v>7.28978</v>
      </c>
      <c r="H18" s="6" t="n">
        <v>7.35821</v>
      </c>
      <c r="I18" s="6" t="n">
        <v>7.10557</v>
      </c>
    </row>
    <row r="19" customFormat="false" ht="15" hidden="false" customHeight="false" outlineLevel="0" collapsed="false">
      <c r="A19" s="2" t="s">
        <v>32</v>
      </c>
      <c r="B19" s="6" t="n">
        <v>4.43156</v>
      </c>
      <c r="C19" s="6" t="n">
        <v>4.33771</v>
      </c>
      <c r="D19" s="6" t="n">
        <v>4.38992</v>
      </c>
      <c r="E19" s="6" t="n">
        <v>4.44697</v>
      </c>
      <c r="F19" s="6" t="n">
        <v>4.39872</v>
      </c>
      <c r="G19" s="6" t="n">
        <v>4.58286</v>
      </c>
      <c r="H19" s="6" t="n">
        <v>4.44998</v>
      </c>
      <c r="I19" s="6" t="n">
        <v>5.08098</v>
      </c>
    </row>
    <row r="20" customFormat="false" ht="15" hidden="false" customHeight="false" outlineLevel="0" collapsed="false">
      <c r="A20" s="2" t="s">
        <v>33</v>
      </c>
      <c r="B20" s="6" t="n">
        <v>7504.88</v>
      </c>
      <c r="C20" s="6" t="n">
        <v>8307.18</v>
      </c>
      <c r="D20" s="6" t="n">
        <v>7797.68</v>
      </c>
      <c r="E20" s="6" t="n">
        <v>7242.47</v>
      </c>
      <c r="F20" s="6" t="n">
        <v>7781.03</v>
      </c>
      <c r="G20" s="6" t="n">
        <v>6935.55</v>
      </c>
      <c r="H20" s="6" t="n">
        <v>7763.55</v>
      </c>
      <c r="I20" s="6" t="n">
        <v>5671.97</v>
      </c>
    </row>
    <row r="21" customFormat="false" ht="15" hidden="false" customHeight="false" outlineLevel="0" collapsed="false">
      <c r="A21" s="2" t="s">
        <v>34</v>
      </c>
      <c r="B21" s="6" t="n">
        <v>718.516</v>
      </c>
      <c r="C21" s="6" t="n">
        <v>741.399</v>
      </c>
      <c r="D21" s="6" t="n">
        <v>727.409</v>
      </c>
      <c r="E21" s="6" t="n">
        <v>711.984</v>
      </c>
      <c r="F21" s="6" t="n">
        <v>724.57</v>
      </c>
      <c r="G21" s="6" t="n">
        <v>682.022</v>
      </c>
      <c r="H21" s="6" t="n">
        <v>716.475</v>
      </c>
      <c r="I21" s="6" t="n">
        <v>593.23</v>
      </c>
    </row>
    <row r="22" customFormat="false" ht="15" hidden="false" customHeight="false" outlineLevel="0" collapsed="false">
      <c r="A22" s="2" t="s">
        <v>35</v>
      </c>
      <c r="B22" s="6" t="n">
        <v>0.0363867</v>
      </c>
      <c r="C22" s="6" t="n">
        <v>0.0390334</v>
      </c>
      <c r="D22" s="6" t="n">
        <v>0.0373441</v>
      </c>
      <c r="E22" s="6" t="n">
        <v>0.0354365</v>
      </c>
      <c r="F22" s="6" t="n">
        <v>0.0374103</v>
      </c>
      <c r="G22" s="6" t="n">
        <v>0.0354256</v>
      </c>
      <c r="H22" s="6" t="n">
        <v>0.037748</v>
      </c>
      <c r="I22" s="6" t="n">
        <v>0.0333078</v>
      </c>
    </row>
    <row r="23" customFormat="false" ht="15" hidden="false" customHeight="false" outlineLevel="0" collapsed="false">
      <c r="A23" s="2" t="s">
        <v>36</v>
      </c>
      <c r="B23" s="6" t="n">
        <v>2349.72</v>
      </c>
      <c r="C23" s="6" t="n">
        <v>2334.22</v>
      </c>
      <c r="D23" s="6" t="n">
        <v>2341.19</v>
      </c>
      <c r="E23" s="6" t="n">
        <v>2347.75</v>
      </c>
      <c r="F23" s="6" t="n">
        <v>2341.56</v>
      </c>
      <c r="G23" s="6" t="n">
        <v>2370.85</v>
      </c>
      <c r="H23" s="6" t="n">
        <v>2356.32</v>
      </c>
      <c r="I23" s="6" t="n">
        <v>2460.23</v>
      </c>
    </row>
    <row r="24" customFormat="false" ht="15" hidden="false" customHeight="false" outlineLevel="0" collapsed="false">
      <c r="A24" s="2" t="s">
        <v>37</v>
      </c>
      <c r="B24" s="6" t="n">
        <v>7.51282</v>
      </c>
      <c r="C24" s="6" t="n">
        <v>7.17357</v>
      </c>
      <c r="D24" s="6" t="n">
        <v>7.35284</v>
      </c>
      <c r="E24" s="6" t="n">
        <v>7.92311</v>
      </c>
      <c r="F24" s="6" t="n">
        <v>7.61899</v>
      </c>
      <c r="G24" s="6" t="n">
        <v>7.40979</v>
      </c>
      <c r="H24" s="6" t="n">
        <v>7.64328</v>
      </c>
      <c r="I24" s="6" t="n">
        <v>7.20878</v>
      </c>
    </row>
    <row r="25" customFormat="false" ht="15" hidden="false" customHeight="false" outlineLevel="0" collapsed="false">
      <c r="A25" s="2" t="s">
        <v>38</v>
      </c>
      <c r="B25" s="6" t="n">
        <v>4.51282</v>
      </c>
      <c r="C25" s="6" t="n">
        <v>4.17357</v>
      </c>
      <c r="D25" s="6" t="n">
        <v>4.35284</v>
      </c>
      <c r="E25" s="6" t="n">
        <v>4.92311</v>
      </c>
      <c r="F25" s="6" t="n">
        <v>4.61899</v>
      </c>
      <c r="G25" s="6" t="n">
        <v>4.40979</v>
      </c>
      <c r="H25" s="6" t="n">
        <v>4.64328</v>
      </c>
      <c r="I25" s="6" t="n">
        <v>4.20878</v>
      </c>
    </row>
    <row r="26" customFormat="false" ht="15" hidden="false" customHeight="false" outlineLevel="0" collapsed="false">
      <c r="A26" s="2" t="s">
        <v>39</v>
      </c>
      <c r="B26" s="6" t="n">
        <v>1.59616</v>
      </c>
      <c r="C26" s="6" t="n">
        <v>1.43599</v>
      </c>
      <c r="D26" s="6" t="n">
        <v>1.52407</v>
      </c>
      <c r="E26" s="6" t="n">
        <v>1.10496</v>
      </c>
      <c r="F26" s="6" t="n">
        <v>0.0257433</v>
      </c>
      <c r="G26" s="6" t="n">
        <v>1.55211</v>
      </c>
      <c r="H26" s="6" t="n">
        <v>1.20611</v>
      </c>
      <c r="I26" s="6" t="n">
        <v>1.34142</v>
      </c>
    </row>
    <row r="27" customFormat="false" ht="15" hidden="false" customHeight="false" outlineLevel="0" collapsed="false">
      <c r="A27" s="2" t="s">
        <v>40</v>
      </c>
      <c r="B27" s="6" t="n">
        <v>274212</v>
      </c>
      <c r="C27" s="6" t="n">
        <v>462781</v>
      </c>
      <c r="D27" s="6" t="n">
        <v>253506</v>
      </c>
      <c r="E27" s="6" t="n">
        <v>222232</v>
      </c>
      <c r="F27" s="6" t="n">
        <v>504515</v>
      </c>
      <c r="G27" s="6" t="n">
        <v>289395</v>
      </c>
      <c r="H27" s="6" t="n">
        <v>241354</v>
      </c>
      <c r="I27" s="6" t="n">
        <v>238084</v>
      </c>
    </row>
    <row r="28" customFormat="false" ht="15" hidden="false" customHeight="false" outlineLevel="0" collapsed="false">
      <c r="A28" s="2" t="s">
        <v>41</v>
      </c>
      <c r="B28" s="6" t="n">
        <v>2056.24</v>
      </c>
      <c r="C28" s="6" t="n">
        <v>2333.45</v>
      </c>
      <c r="D28" s="6" t="n">
        <v>2081.86</v>
      </c>
      <c r="E28" s="6" t="n">
        <v>2155.49</v>
      </c>
      <c r="F28" s="6" t="n">
        <v>2525.03</v>
      </c>
      <c r="G28" s="6" t="n">
        <v>2158.1</v>
      </c>
      <c r="H28" s="6" t="n">
        <v>2149.21</v>
      </c>
      <c r="I28" s="6" t="n">
        <v>2056.82</v>
      </c>
    </row>
    <row r="29" customFormat="false" ht="15" hidden="false" customHeight="false" outlineLevel="0" collapsed="false">
      <c r="A29" s="2" t="s">
        <v>42</v>
      </c>
      <c r="B29" s="6" t="n">
        <v>0.397038</v>
      </c>
      <c r="C29" s="6" t="n">
        <v>0.690894</v>
      </c>
      <c r="D29" s="6" t="n">
        <v>0.392103</v>
      </c>
      <c r="E29" s="6" t="n">
        <v>0.355851</v>
      </c>
      <c r="F29" s="6" t="n">
        <v>0.371244</v>
      </c>
      <c r="G29" s="6" t="n">
        <v>0.443441</v>
      </c>
      <c r="H29" s="6" t="n">
        <v>0.372534</v>
      </c>
      <c r="I29" s="6" t="n">
        <v>0.378684</v>
      </c>
    </row>
    <row r="30" customFormat="false" ht="15" hidden="false" customHeight="false" outlineLevel="0" collapsed="false">
      <c r="A30" s="2" t="s">
        <v>43</v>
      </c>
      <c r="B30" s="6" t="n">
        <v>36.5378260545139</v>
      </c>
      <c r="C30" s="6" t="n">
        <v>55.7085557313071</v>
      </c>
      <c r="D30" s="6" t="n">
        <v>32.5104390023699</v>
      </c>
      <c r="E30" s="6" t="n">
        <v>30.6845592732866</v>
      </c>
      <c r="F30" s="6" t="n">
        <v>64.8391022782331</v>
      </c>
      <c r="G30" s="6" t="n">
        <v>41.7263230745939</v>
      </c>
      <c r="H30" s="6" t="n">
        <v>31.0880975842237</v>
      </c>
      <c r="I30" s="6" t="n">
        <v>41.9755393628669</v>
      </c>
    </row>
    <row r="31" customFormat="false" ht="15" hidden="false" customHeight="false" outlineLevel="0" collapsed="false">
      <c r="A31" s="2" t="s">
        <v>44</v>
      </c>
      <c r="B31" s="7" t="n">
        <v>0.04231</v>
      </c>
      <c r="C31" s="7" t="n">
        <v>0.04679</v>
      </c>
      <c r="D31" s="7" t="n">
        <v>0.03504</v>
      </c>
      <c r="E31" s="7" t="n">
        <v>0.04032</v>
      </c>
      <c r="F31" s="7" t="n">
        <v>0.08096</v>
      </c>
      <c r="G31" s="7" t="n">
        <v>0.04817</v>
      </c>
      <c r="H31" s="7" t="n">
        <v>0.04542</v>
      </c>
      <c r="I31" s="7" t="n">
        <v>0.0517</v>
      </c>
    </row>
    <row r="33" customFormat="false" ht="15" hidden="false" customHeight="false" outlineLevel="0" collapsed="false">
      <c r="A33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3" t="s">
        <v>81</v>
      </c>
    </row>
    <row r="3" customFormat="false" ht="15" hidden="false" customHeight="false" outlineLevel="0" collapsed="false">
      <c r="A3" s="4" t="s">
        <v>9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82</v>
      </c>
      <c r="G3" s="4" t="s">
        <v>83</v>
      </c>
      <c r="H3" s="4" t="s">
        <v>84</v>
      </c>
    </row>
    <row r="4" customFormat="false" ht="15" hidden="false" customHeight="false" outlineLevel="0" collapsed="false">
      <c r="A4" s="2" t="str">
        <f aca="false">Fine_values!A4</f>
        <v>Cells [-]</v>
      </c>
      <c r="B4" s="9" t="n">
        <f aca="false">IFERROR((Fine_values!C4-Fine_values!B4)/ABS(Fine_values!B4),"")</f>
        <v>0.233019853709509</v>
      </c>
      <c r="C4" s="9" t="n">
        <f aca="false">IFERROR((Fine_values!D4-Fine_values!C4)/ABS(Fine_values!C4),"")</f>
        <v>0.208757062146893</v>
      </c>
      <c r="D4" s="9" t="n">
        <f aca="false">IFERROR((Fine_values!E4-Fine_values!D4)/ABS(Fine_values!D4),"")</f>
        <v>0.191867258705305</v>
      </c>
      <c r="E4" s="9" t="n">
        <f aca="false">IFERROR((Fine_values!F4-Fine_values!E4)/ABS(Fine_values!E4),"")</f>
        <v>0.172549019607843</v>
      </c>
      <c r="F4" s="9" t="n">
        <f aca="false">IFERROR((Fine_values!G4-Fine_values!F4)/ABS(Fine_values!F4),"")</f>
        <v>0.161204013377926</v>
      </c>
      <c r="G4" s="9" t="n">
        <f aca="false">IFERROR((Fine_values!H4-Fine_values!G4)/ABS(Fine_values!G4),"")</f>
        <v>0.147033410138249</v>
      </c>
      <c r="H4" s="9" t="n">
        <f aca="false">IFERROR((Fine_values!I4-Fine_values!H4)/ABS(Fine_values!H4),"")</f>
        <v>0.136974262397991</v>
      </c>
    </row>
    <row r="5" customFormat="false" ht="15" hidden="false" customHeight="false" outlineLevel="0" collapsed="false">
      <c r="A5" s="2" t="str">
        <f aca="false">Fine_values!A5</f>
        <v>Mass flow, inlet [kg/s]</v>
      </c>
      <c r="B5" s="9" t="n">
        <f aca="false">IFERROR((Fine_values!C5-Fine_values!B5)/ABS(Fine_values!B5),"")</f>
        <v>0.00206637204108803</v>
      </c>
      <c r="C5" s="9" t="n">
        <f aca="false">IFERROR((Fine_values!D5-Fine_values!C5)/ABS(Fine_values!C5),"")</f>
        <v>0.00173336862688171</v>
      </c>
      <c r="D5" s="9" t="n">
        <f aca="false">IFERROR((Fine_values!E5-Fine_values!D5)/ABS(Fine_values!D5),"")</f>
        <v>0.00148317365065295</v>
      </c>
      <c r="E5" s="9" t="n">
        <f aca="false">IFERROR((Fine_values!F5-Fine_values!E5)/ABS(Fine_values!E5),"")</f>
        <v>0.00126819303770534</v>
      </c>
      <c r="F5" s="9" t="n">
        <f aca="false">IFERROR((Fine_values!G5-Fine_values!F5)/ABS(Fine_values!F5),"")</f>
        <v>0.0011093259888301</v>
      </c>
      <c r="G5" s="9" t="n">
        <f aca="false">IFERROR((Fine_values!H5-Fine_values!G5)/ABS(Fine_values!G5),"")</f>
        <v>0.000972238143152499</v>
      </c>
      <c r="H5" s="9" t="n">
        <f aca="false">IFERROR((Fine_values!I5-Fine_values!H5)/ABS(Fine_values!H5),"")</f>
        <v>0.000856774456245115</v>
      </c>
    </row>
    <row r="6" customFormat="false" ht="15" hidden="false" customHeight="false" outlineLevel="0" collapsed="false">
      <c r="A6" s="2" t="str">
        <f aca="false">Fine_values!A6</f>
        <v>Mass flow, exit plane [kg/s]</v>
      </c>
      <c r="B6" s="9" t="n">
        <f aca="false">IFERROR((Fine_values!C6-Fine_values!B6)/ABS(Fine_values!B6),"")</f>
        <v>0.0136436088127481</v>
      </c>
      <c r="C6" s="9" t="n">
        <f aca="false">IFERROR((Fine_values!D6-Fine_values!C6)/ABS(Fine_values!C6),"")</f>
        <v>0.0106236548375794</v>
      </c>
      <c r="D6" s="9" t="n">
        <f aca="false">IFERROR((Fine_values!E6-Fine_values!D6)/ABS(Fine_values!D6),"")</f>
        <v>-0.0047586619616582</v>
      </c>
      <c r="E6" s="9" t="n">
        <f aca="false">IFERROR((Fine_values!F6-Fine_values!E6)/ABS(Fine_values!E6),"")</f>
        <v>0.000933060188602566</v>
      </c>
      <c r="F6" s="9" t="n">
        <f aca="false">IFERROR((Fine_values!G6-Fine_values!F6)/ABS(Fine_values!F6),"")</f>
        <v>0.0152216334461628</v>
      </c>
      <c r="G6" s="9" t="n">
        <f aca="false">IFERROR((Fine_values!H6-Fine_values!G6)/ABS(Fine_values!G6),"")</f>
        <v>0.0120714492676735</v>
      </c>
      <c r="H6" s="9" t="n">
        <f aca="false">IFERROR((Fine_values!I6-Fine_values!H6)/ABS(Fine_values!H6),"")</f>
        <v>-0.0246936479582578</v>
      </c>
    </row>
    <row r="7" customFormat="false" ht="15" hidden="false" customHeight="false" outlineLevel="0" collapsed="false">
      <c r="A7" s="2" t="str">
        <f aca="false">Fine_values!A7</f>
        <v>Thrust, wall-pressure method [N]</v>
      </c>
      <c r="B7" s="9" t="n">
        <f aca="false">IFERROR((Fine_values!C7-Fine_values!B7)/ABS(Fine_values!B7),"")</f>
        <v>-0.00557593886564932</v>
      </c>
      <c r="C7" s="9" t="n">
        <f aca="false">IFERROR((Fine_values!D7-Fine_values!C7)/ABS(Fine_values!C7),"")</f>
        <v>0.00956937799043062</v>
      </c>
      <c r="D7" s="9" t="n">
        <f aca="false">IFERROR((Fine_values!E7-Fine_values!D7)/ABS(Fine_values!D7),"")</f>
        <v>0.0131286138604643</v>
      </c>
      <c r="E7" s="9" t="n">
        <f aca="false">IFERROR((Fine_values!F7-Fine_values!E7)/ABS(Fine_values!E7),"")</f>
        <v>0.00223327114485015</v>
      </c>
      <c r="F7" s="9" t="n">
        <f aca="false">IFERROR((Fine_values!G7-Fine_values!F7)/ABS(Fine_values!F7),"")</f>
        <v>-0.0120401276455269</v>
      </c>
      <c r="G7" s="9" t="n">
        <f aca="false">IFERROR((Fine_values!H7-Fine_values!G7)/ABS(Fine_values!G7),"")</f>
        <v>0.0161315772375834</v>
      </c>
      <c r="H7" s="9" t="n">
        <f aca="false">IFERROR((Fine_values!I7-Fine_values!H7)/ABS(Fine_values!H7),"")</f>
        <v>0.00289101820473707</v>
      </c>
    </row>
    <row r="8" customFormat="false" ht="15" hidden="false" customHeight="false" outlineLevel="0" collapsed="false">
      <c r="A8" s="2" t="str">
        <f aca="false">Fine_values!A8</f>
        <v>Thrust, exit-plane method [N]</v>
      </c>
      <c r="B8" s="9" t="n">
        <f aca="false">IFERROR((Fine_values!C8-Fine_values!B8)/ABS(Fine_values!B8),"")</f>
        <v>0.0105857701147759</v>
      </c>
      <c r="C8" s="9" t="n">
        <f aca="false">IFERROR((Fine_values!D8-Fine_values!C8)/ABS(Fine_values!C8),"")</f>
        <v>0.00842773883575715</v>
      </c>
      <c r="D8" s="9" t="n">
        <f aca="false">IFERROR((Fine_values!E8-Fine_values!D8)/ABS(Fine_values!D8),"")</f>
        <v>-0.000789722695871387</v>
      </c>
      <c r="E8" s="9" t="n">
        <f aca="false">IFERROR((Fine_values!F8-Fine_values!E8)/ABS(Fine_values!E8),"")</f>
        <v>0.00267958436774625</v>
      </c>
      <c r="F8" s="9" t="n">
        <f aca="false">IFERROR((Fine_values!G8-Fine_values!F8)/ABS(Fine_values!F8),"")</f>
        <v>0.00911795825906647</v>
      </c>
      <c r="G8" s="9" t="n">
        <f aca="false">IFERROR((Fine_values!H8-Fine_values!G8)/ABS(Fine_values!G8),"")</f>
        <v>0.0121717509353412</v>
      </c>
      <c r="H8" s="9" t="n">
        <f aca="false">IFERROR((Fine_values!I8-Fine_values!H8)/ABS(Fine_values!H8),"")</f>
        <v>-0.0134807556824502</v>
      </c>
    </row>
    <row r="9" customFormat="false" ht="15" hidden="false" customHeight="false" outlineLevel="0" collapsed="false">
      <c r="A9" s="2" t="str">
        <f aca="false">Fine_values!A9</f>
        <v>Specific impulse Isp [s]</v>
      </c>
      <c r="B9" s="9" t="n">
        <f aca="false">IFERROR((Fine_values!C9-Fine_values!B9)/ABS(Fine_values!B9),"")</f>
        <v>-0.00301593174352238</v>
      </c>
      <c r="C9" s="9" t="n">
        <f aca="false">IFERROR((Fine_values!D9-Fine_values!C9)/ABS(Fine_values!C9),"")</f>
        <v>-0.00217039269488566</v>
      </c>
      <c r="D9" s="9" t="n">
        <f aca="false">IFERROR((Fine_values!E9-Fine_values!D9)/ABS(Fine_values!D9),"")</f>
        <v>0.00398958650302599</v>
      </c>
      <c r="E9" s="9" t="n">
        <f aca="false">IFERROR((Fine_values!F9-Fine_values!E9)/ABS(Fine_values!E9),"")</f>
        <v>0.00174552393781224</v>
      </c>
      <c r="F9" s="9" t="n">
        <f aca="false">IFERROR((Fine_values!G9-Fine_values!F9)/ABS(Fine_values!F9),"")</f>
        <v>-0.00601744723527986</v>
      </c>
      <c r="G9" s="9" t="n">
        <f aca="false">IFERROR((Fine_values!H9-Fine_values!G9)/ABS(Fine_values!G9),"")</f>
        <v>0.000101461610872179</v>
      </c>
      <c r="H9" s="9" t="n">
        <f aca="false">IFERROR((Fine_values!I9-Fine_values!H9)/ABS(Fine_values!H9),"")</f>
        <v>0.0114978159785825</v>
      </c>
    </row>
    <row r="10" customFormat="false" ht="15" hidden="false" customHeight="false" outlineLevel="0" collapsed="false">
      <c r="A10" s="2" t="str">
        <f aca="false">Fine_values!A10</f>
        <v>Discharge coefficient Cd [-]</v>
      </c>
      <c r="B10" s="9" t="n">
        <f aca="false">IFERROR((Fine_values!C10-Fine_values!B10)/ABS(Fine_values!B10),"")</f>
        <v>0.013643710141464</v>
      </c>
      <c r="C10" s="9" t="n">
        <f aca="false">IFERROR((Fine_values!D10-Fine_values!C10)/ABS(Fine_values!C10),"")</f>
        <v>0.0106217137421724</v>
      </c>
      <c r="D10" s="9" t="n">
        <f aca="false">IFERROR((Fine_values!E10-Fine_values!D10)/ABS(Fine_values!D10),"")</f>
        <v>-0.00475829433449236</v>
      </c>
      <c r="E10" s="9" t="n">
        <f aca="false">IFERROR((Fine_values!F10-Fine_values!E10)/ABS(Fine_values!E10),"")</f>
        <v>0.000932566264743749</v>
      </c>
      <c r="F10" s="9" t="n">
        <f aca="false">IFERROR((Fine_values!G10-Fine_values!F10)/ABS(Fine_values!F10),"")</f>
        <v>0.0152170511726972</v>
      </c>
      <c r="G10" s="9" t="n">
        <f aca="false">IFERROR((Fine_values!H10-Fine_values!G10)/ABS(Fine_values!G10),"")</f>
        <v>0.0120806570286554</v>
      </c>
      <c r="H10" s="9" t="n">
        <f aca="false">IFERROR((Fine_values!I10-Fine_values!H10)/ABS(Fine_values!H10),"")</f>
        <v>-0.02469618524595</v>
      </c>
    </row>
    <row r="11" customFormat="false" ht="15" hidden="false" customHeight="false" outlineLevel="0" collapsed="false">
      <c r="A11" s="2" t="str">
        <f aca="false">Fine_values!A11</f>
        <v>Exit-axis Mach [-]</v>
      </c>
      <c r="B11" s="9" t="n">
        <f aca="false">IFERROR((Fine_values!C11-Fine_values!B11)/ABS(Fine_values!B11),"")</f>
        <v>-0.00168918918918919</v>
      </c>
      <c r="C11" s="9" t="n">
        <f aca="false">IFERROR((Fine_values!D11-Fine_values!C11)/ABS(Fine_values!C11),"")</f>
        <v>-0.00169204737732657</v>
      </c>
      <c r="D11" s="9" t="n">
        <f aca="false">IFERROR((Fine_values!E11-Fine_values!D11)/ABS(Fine_values!D11),"")</f>
        <v>-0.000847457627118551</v>
      </c>
      <c r="E11" s="9" t="n">
        <f aca="false">IFERROR((Fine_values!F11-Fine_values!E11)/ABS(Fine_values!E11),"")</f>
        <v>-0.0008481764206956</v>
      </c>
      <c r="F11" s="9" t="n">
        <f aca="false">IFERROR((Fine_values!G11-Fine_values!F11)/ABS(Fine_values!F11),"")</f>
        <v>-0.000848896434634881</v>
      </c>
      <c r="G11" s="9" t="n">
        <f aca="false">IFERROR((Fine_values!H11-Fine_values!G11)/ABS(Fine_values!G11),"")</f>
        <v>-0.000849617672047674</v>
      </c>
      <c r="H11" s="9" t="n">
        <f aca="false">IFERROR((Fine_values!I11-Fine_values!H11)/ABS(Fine_values!H11),"")</f>
        <v>-0.000425170068027164</v>
      </c>
    </row>
    <row r="12" customFormat="false" ht="15" hidden="false" customHeight="false" outlineLevel="0" collapsed="false">
      <c r="A12" s="2" t="str">
        <f aca="false">Fine_values!A12</f>
        <v>Exit-axis temperature [K]</v>
      </c>
      <c r="B12" s="9" t="n">
        <f aca="false">IFERROR((Fine_values!C12-Fine_values!B12)/ABS(Fine_values!B12),"")</f>
        <v>0.00185070943861814</v>
      </c>
      <c r="C12" s="9" t="n">
        <f aca="false">IFERROR((Fine_values!D12-Fine_values!C12)/ABS(Fine_values!C12),"")</f>
        <v>0.00123152709359606</v>
      </c>
      <c r="D12" s="9" t="n">
        <f aca="false">IFERROR((Fine_values!E12-Fine_values!D12)/ABS(Fine_values!D12),"")</f>
        <v>0.001230012300123</v>
      </c>
      <c r="E12" s="9" t="n">
        <f aca="false">IFERROR((Fine_values!F12-Fine_values!E12)/ABS(Fine_values!E12),"")</f>
        <v>0.00122850122850123</v>
      </c>
      <c r="F12" s="9" t="n">
        <f aca="false">IFERROR((Fine_values!G12-Fine_values!F12)/ABS(Fine_values!F12),"")</f>
        <v>0.000613496932515338</v>
      </c>
      <c r="G12" s="9" t="n">
        <f aca="false">IFERROR((Fine_values!H12-Fine_values!G12)/ABS(Fine_values!G12),"")</f>
        <v>0.000613120784794605</v>
      </c>
      <c r="H12" s="9" t="n">
        <f aca="false">IFERROR((Fine_values!I12-Fine_values!H12)/ABS(Fine_values!H12),"")</f>
        <v>0.000612745098039216</v>
      </c>
    </row>
    <row r="13" customFormat="false" ht="15" hidden="false" customHeight="false" outlineLevel="0" collapsed="false">
      <c r="A13" s="2" t="str">
        <f aca="false">Fine_values!A13</f>
        <v>Exit-axis pressure [Pa]</v>
      </c>
      <c r="B13" s="9" t="n">
        <f aca="false">IFERROR((Fine_values!C13-Fine_values!B13)/ABS(Fine_values!B13),"")</f>
        <v>0.0109478252293126</v>
      </c>
      <c r="C13" s="9" t="n">
        <f aca="false">IFERROR((Fine_values!D13-Fine_values!C13)/ABS(Fine_values!C13),"")</f>
        <v>0.00878048780487805</v>
      </c>
      <c r="D13" s="9" t="n">
        <f aca="false">IFERROR((Fine_values!E13-Fine_values!D13)/ABS(Fine_values!D13),"")</f>
        <v>0.00720502901353965</v>
      </c>
      <c r="E13" s="9" t="n">
        <f aca="false">IFERROR((Fine_values!F13-Fine_values!E13)/ABS(Fine_values!E13),"")</f>
        <v>0.0059532382735609</v>
      </c>
      <c r="F13" s="9" t="n">
        <f aca="false">IFERROR((Fine_values!G13-Fine_values!F13)/ABS(Fine_values!F13),"")</f>
        <v>0.00505894144036654</v>
      </c>
      <c r="G13" s="9" t="n">
        <f aca="false">IFERROR((Fine_values!H13-Fine_values!G13)/ABS(Fine_values!G13),"")</f>
        <v>0.00432119283916615</v>
      </c>
      <c r="H13" s="9" t="n">
        <f aca="false">IFERROR((Fine_values!I13-Fine_values!H13)/ABS(Fine_values!H13),"")</f>
        <v>0.00378250591016548</v>
      </c>
    </row>
    <row r="14" customFormat="false" ht="15" hidden="false" customHeight="false" outlineLevel="0" collapsed="false">
      <c r="A14" s="2" t="str">
        <f aca="false">Fine_values!A14</f>
        <v>Exit-axis velocity [m/s]</v>
      </c>
      <c r="B14" s="9" t="n">
        <f aca="false">IFERROR((Fine_values!C14-Fine_values!B14)/ABS(Fine_values!B14),"")</f>
        <v>-0.000865660336525407</v>
      </c>
      <c r="C14" s="9" t="n">
        <f aca="false">IFERROR((Fine_values!D14-Fine_values!C14)/ABS(Fine_values!C14),"")</f>
        <v>-0.000649807765202819</v>
      </c>
      <c r="D14" s="9" t="n">
        <f aca="false">IFERROR((Fine_values!E14-Fine_values!D14)/ABS(Fine_values!D14),"")</f>
        <v>-0.000487672717420803</v>
      </c>
      <c r="E14" s="9" t="n">
        <f aca="false">IFERROR((Fine_values!F14-Fine_values!E14)/ABS(Fine_values!E14),"")</f>
        <v>-0.000433698362788656</v>
      </c>
      <c r="F14" s="9" t="n">
        <f aca="false">IFERROR((Fine_values!G14-Fine_values!F14)/ABS(Fine_values!F14),"")</f>
        <v>-0.000379650721336395</v>
      </c>
      <c r="G14" s="9" t="n">
        <f aca="false">IFERROR((Fine_values!H14-Fine_values!G14)/ABS(Fine_values!G14),"")</f>
        <v>-0.000325538494926976</v>
      </c>
      <c r="H14" s="9" t="n">
        <f aca="false">IFERROR((Fine_values!I14-Fine_values!H14)/ABS(Fine_values!H14),"")</f>
        <v>-0.000271370420624152</v>
      </c>
    </row>
    <row r="15" customFormat="false" ht="15" hidden="false" customHeight="false" outlineLevel="0" collapsed="false">
      <c r="A15" s="2" t="str">
        <f aca="false">Fine_values!A15</f>
        <v>Exit-axis density [kg/m3]</v>
      </c>
      <c r="B15" s="9" t="n">
        <f aca="false">IFERROR((Fine_values!C15-Fine_values!B15)/ABS(Fine_values!B15),"")</f>
        <v>0.00912227891780767</v>
      </c>
      <c r="C15" s="9" t="n">
        <f aca="false">IFERROR((Fine_values!D15-Fine_values!C15)/ABS(Fine_values!C15),"")</f>
        <v>0.0072982411466196</v>
      </c>
      <c r="D15" s="9" t="n">
        <f aca="false">IFERROR((Fine_values!E15-Fine_values!D15)/ABS(Fine_values!D15),"")</f>
        <v>0.0059633172475748</v>
      </c>
      <c r="E15" s="9" t="n">
        <f aca="false">IFERROR((Fine_values!F15-Fine_values!E15)/ABS(Fine_values!E15),"")</f>
        <v>0.00495193904201174</v>
      </c>
      <c r="F15" s="9" t="n">
        <f aca="false">IFERROR((Fine_values!G15-Fine_values!F15)/ABS(Fine_values!F15),"")</f>
        <v>0.00418851908165154</v>
      </c>
      <c r="G15" s="9" t="n">
        <f aca="false">IFERROR((Fine_values!H15-Fine_values!G15)/ABS(Fine_values!G15),"")</f>
        <v>0.00359074809845994</v>
      </c>
      <c r="H15" s="9" t="n">
        <f aca="false">IFERROR((Fine_values!I15-Fine_values!H15)/ABS(Fine_values!H15),"")</f>
        <v>0.0031148783070659</v>
      </c>
    </row>
    <row r="16" customFormat="false" ht="15" hidden="false" customHeight="false" outlineLevel="0" collapsed="false">
      <c r="A16" s="2" t="str">
        <f aca="false">Fine_values!A16</f>
        <v>Exit mass-averaged Mach [-]</v>
      </c>
      <c r="B16" s="9" t="n">
        <f aca="false">IFERROR((Fine_values!C16-Fine_values!B16)/ABS(Fine_values!B16),"")</f>
        <v>0.00161550888529887</v>
      </c>
      <c r="C16" s="9" t="n">
        <f aca="false">IFERROR((Fine_values!D16-Fine_values!C16)/ABS(Fine_values!C16),"")</f>
        <v>-0.00725806451612895</v>
      </c>
      <c r="D16" s="9" t="n">
        <f aca="false">IFERROR((Fine_values!E16-Fine_values!D16)/ABS(Fine_values!D16),"")</f>
        <v>-0.00406173842404559</v>
      </c>
      <c r="E16" s="9" t="n">
        <f aca="false">IFERROR((Fine_values!F16-Fine_values!E16)/ABS(Fine_values!E16),"")</f>
        <v>0.00122349102773251</v>
      </c>
      <c r="F16" s="9" t="n">
        <f aca="false">IFERROR((Fine_values!G16-Fine_values!F16)/ABS(Fine_values!F16),"")</f>
        <v>0.00366598778004069</v>
      </c>
      <c r="G16" s="9" t="n">
        <f aca="false">IFERROR((Fine_values!H16-Fine_values!G16)/ABS(Fine_values!G16),"")</f>
        <v>-0.0142045454545455</v>
      </c>
      <c r="H16" s="9" t="n">
        <f aca="false">IFERROR((Fine_values!I16-Fine_values!H16)/ABS(Fine_values!H16),"")</f>
        <v>0.0115273775216138</v>
      </c>
    </row>
    <row r="17" customFormat="false" ht="15" hidden="false" customHeight="false" outlineLevel="0" collapsed="false">
      <c r="A17" s="2" t="str">
        <f aca="false">Fine_values!A17</f>
        <v>Throat-axis Mach [-]</v>
      </c>
      <c r="B17" s="9" t="n">
        <f aca="false">IFERROR((Fine_values!C17-Fine_values!B17)/ABS(Fine_values!B17),"")</f>
        <v>-0.000551045148965811</v>
      </c>
      <c r="C17" s="9" t="n">
        <f aca="false">IFERROR((Fine_values!D17-Fine_values!C17)/ABS(Fine_values!C17),"")</f>
        <v>-0.000465583572251277</v>
      </c>
      <c r="D17" s="9" t="n">
        <f aca="false">IFERROR((Fine_values!E17-Fine_values!D17)/ABS(Fine_values!D17),"")</f>
        <v>-0.000379995096837364</v>
      </c>
      <c r="E17" s="9" t="n">
        <f aca="false">IFERROR((Fine_values!F17-Fine_values!E17)/ABS(Fine_values!E17),"")</f>
        <v>-0.000331089283743643</v>
      </c>
      <c r="F17" s="9" t="n">
        <f aca="false">IFERROR((Fine_values!G17-Fine_values!F17)/ABS(Fine_values!F17),"")</f>
        <v>-0.000282132430509497</v>
      </c>
      <c r="G17" s="9" t="n">
        <f aca="false">IFERROR((Fine_values!H17-Fine_values!G17)/ABS(Fine_values!G17),"")</f>
        <v>-0.000245401784070943</v>
      </c>
      <c r="H17" s="9" t="n">
        <f aca="false">IFERROR((Fine_values!I17-Fine_values!H17)/ABS(Fine_values!H17),"")</f>
        <v>-0.000245462020888791</v>
      </c>
    </row>
    <row r="18" customFormat="false" ht="15" hidden="false" customHeight="false" outlineLevel="0" collapsed="false">
      <c r="A18" s="2" t="str">
        <f aca="false">Fine_values!A18</f>
        <v>Plume 1st cell: x of axis Mach peak [m]</v>
      </c>
      <c r="B18" s="9" t="n">
        <f aca="false">IFERROR((Fine_values!C18-Fine_values!B18)/ABS(Fine_values!B18),"")</f>
        <v>-0.0540317681349361</v>
      </c>
      <c r="C18" s="9" t="n">
        <f aca="false">IFERROR((Fine_values!D18-Fine_values!C18)/ABS(Fine_values!C18),"")</f>
        <v>0.0175749765123385</v>
      </c>
      <c r="D18" s="9" t="n">
        <f aca="false">IFERROR((Fine_values!E18-Fine_values!D18)/ABS(Fine_values!D18),"")</f>
        <v>0.0418028776264191</v>
      </c>
      <c r="E18" s="9" t="n">
        <f aca="false">IFERROR((Fine_values!F18-Fine_values!E18)/ABS(Fine_values!E18),"")</f>
        <v>-0.0334345263215214</v>
      </c>
      <c r="F18" s="9" t="n">
        <f aca="false">IFERROR((Fine_values!G18-Fine_values!F18)/ABS(Fine_values!F18),"")</f>
        <v>0.0267151166884974</v>
      </c>
      <c r="G18" s="9" t="n">
        <f aca="false">IFERROR((Fine_values!H18-Fine_values!G18)/ABS(Fine_values!G18),"")</f>
        <v>0.00938711456312801</v>
      </c>
      <c r="H18" s="9" t="n">
        <f aca="false">IFERROR((Fine_values!I18-Fine_values!H18)/ABS(Fine_values!H18),"")</f>
        <v>-0.0343344373155971</v>
      </c>
    </row>
    <row r="19" customFormat="false" ht="15" hidden="false" customHeight="false" outlineLevel="0" collapsed="false">
      <c r="A19" s="2" t="str">
        <f aca="false">Fine_values!A19</f>
        <v>Plume 1st cell: peak axis Mach [-]</v>
      </c>
      <c r="B19" s="9" t="n">
        <f aca="false">IFERROR((Fine_values!C19-Fine_values!B19)/ABS(Fine_values!B19),"")</f>
        <v>-0.0211776439899267</v>
      </c>
      <c r="C19" s="9" t="n">
        <f aca="false">IFERROR((Fine_values!D19-Fine_values!C19)/ABS(Fine_values!C19),"")</f>
        <v>0.0120363048705422</v>
      </c>
      <c r="D19" s="9" t="n">
        <f aca="false">IFERROR((Fine_values!E19-Fine_values!D19)/ABS(Fine_values!D19),"")</f>
        <v>0.0129956810146883</v>
      </c>
      <c r="E19" s="9" t="n">
        <f aca="false">IFERROR((Fine_values!F19-Fine_values!E19)/ABS(Fine_values!E19),"")</f>
        <v>-0.0108500844395173</v>
      </c>
      <c r="F19" s="9" t="n">
        <f aca="false">IFERROR((Fine_values!G19-Fine_values!F19)/ABS(Fine_values!F19),"")</f>
        <v>0.0418621780881712</v>
      </c>
      <c r="G19" s="9" t="n">
        <f aca="false">IFERROR((Fine_values!H19-Fine_values!G19)/ABS(Fine_values!G19),"")</f>
        <v>-0.0289949943921482</v>
      </c>
      <c r="H19" s="9" t="n">
        <f aca="false">IFERROR((Fine_values!I19-Fine_values!H19)/ABS(Fine_values!H19),"")</f>
        <v>0.141798390105124</v>
      </c>
    </row>
    <row r="20" customFormat="false" ht="15" hidden="false" customHeight="false" outlineLevel="0" collapsed="false">
      <c r="A20" s="2" t="str">
        <f aca="false">Fine_values!A20</f>
        <v>Plume 1st cell: axis pressure at peak [Pa]</v>
      </c>
      <c r="B20" s="9" t="n">
        <f aca="false">IFERROR((Fine_values!C20-Fine_values!B20)/ABS(Fine_values!B20),"")</f>
        <v>0.106903774610653</v>
      </c>
      <c r="C20" s="9" t="n">
        <f aca="false">IFERROR((Fine_values!D20-Fine_values!C20)/ABS(Fine_values!C20),"")</f>
        <v>-0.0613324858736659</v>
      </c>
      <c r="D20" s="9" t="n">
        <f aca="false">IFERROR((Fine_values!E20-Fine_values!D20)/ABS(Fine_values!D20),"")</f>
        <v>-0.0712019472458475</v>
      </c>
      <c r="E20" s="9" t="n">
        <f aca="false">IFERROR((Fine_values!F20-Fine_values!E20)/ABS(Fine_values!E20),"")</f>
        <v>0.0743613711896631</v>
      </c>
      <c r="F20" s="9" t="n">
        <f aca="false">IFERROR((Fine_values!G20-Fine_values!F20)/ABS(Fine_values!F20),"")</f>
        <v>-0.108659136386828</v>
      </c>
      <c r="G20" s="9" t="n">
        <f aca="false">IFERROR((Fine_values!H20-Fine_values!G20)/ABS(Fine_values!G20),"")</f>
        <v>0.11938490819041</v>
      </c>
      <c r="H20" s="9" t="n">
        <f aca="false">IFERROR((Fine_values!I20-Fine_values!H20)/ABS(Fine_values!H20),"")</f>
        <v>-0.269410256905668</v>
      </c>
    </row>
    <row r="21" customFormat="false" ht="15" hidden="false" customHeight="false" outlineLevel="0" collapsed="false">
      <c r="A21" s="2" t="str">
        <f aca="false">Fine_values!A21</f>
        <v>Plume 1st cell: axis temperature at peak [K]</v>
      </c>
      <c r="B21" s="9" t="n">
        <f aca="false">IFERROR((Fine_values!C21-Fine_values!B21)/ABS(Fine_values!B21),"")</f>
        <v>0.0318475858575175</v>
      </c>
      <c r="C21" s="9" t="n">
        <f aca="false">IFERROR((Fine_values!D21-Fine_values!C21)/ABS(Fine_values!C21),"")</f>
        <v>-0.0188697314131797</v>
      </c>
      <c r="D21" s="9" t="n">
        <f aca="false">IFERROR((Fine_values!E21-Fine_values!D21)/ABS(Fine_values!D21),"")</f>
        <v>-0.021205401637868</v>
      </c>
      <c r="E21" s="9" t="n">
        <f aca="false">IFERROR((Fine_values!F21-Fine_values!E21)/ABS(Fine_values!E21),"")</f>
        <v>0.0176773635362593</v>
      </c>
      <c r="F21" s="9" t="n">
        <f aca="false">IFERROR((Fine_values!G21-Fine_values!F21)/ABS(Fine_values!F21),"")</f>
        <v>-0.0587217246090785</v>
      </c>
      <c r="G21" s="9" t="n">
        <f aca="false">IFERROR((Fine_values!H21-Fine_values!G21)/ABS(Fine_values!G21),"")</f>
        <v>0.0505159657606352</v>
      </c>
      <c r="H21" s="9" t="n">
        <f aca="false">IFERROR((Fine_values!I21-Fine_values!H21)/ABS(Fine_values!H21),"")</f>
        <v>-0.172015771659863</v>
      </c>
    </row>
    <row r="22" customFormat="false" ht="15" hidden="false" customHeight="false" outlineLevel="0" collapsed="false">
      <c r="A22" s="2" t="str">
        <f aca="false">Fine_values!A22</f>
        <v>Plume 1st cell: axis density at peak [kg/m3]</v>
      </c>
      <c r="B22" s="9" t="n">
        <f aca="false">IFERROR((Fine_values!C22-Fine_values!B22)/ABS(Fine_values!B22),"")</f>
        <v>0.0727381158500222</v>
      </c>
      <c r="C22" s="9" t="n">
        <f aca="false">IFERROR((Fine_values!D22-Fine_values!C22)/ABS(Fine_values!C22),"")</f>
        <v>-0.0432783206177275</v>
      </c>
      <c r="D22" s="9" t="n">
        <f aca="false">IFERROR((Fine_values!E22-Fine_values!D22)/ABS(Fine_values!D22),"")</f>
        <v>-0.0510816969748902</v>
      </c>
      <c r="E22" s="9" t="n">
        <f aca="false">IFERROR((Fine_values!F22-Fine_values!E22)/ABS(Fine_values!E22),"")</f>
        <v>0.0556996317356397</v>
      </c>
      <c r="F22" s="9" t="n">
        <f aca="false">IFERROR((Fine_values!G22-Fine_values!F22)/ABS(Fine_values!F22),"")</f>
        <v>-0.0530522342777256</v>
      </c>
      <c r="G22" s="9" t="n">
        <f aca="false">IFERROR((Fine_values!H22-Fine_values!G22)/ABS(Fine_values!G22),"")</f>
        <v>0.0655571112415879</v>
      </c>
      <c r="H22" s="9" t="n">
        <f aca="false">IFERROR((Fine_values!I22-Fine_values!H22)/ABS(Fine_values!H22),"")</f>
        <v>-0.117627423969482</v>
      </c>
    </row>
    <row r="23" customFormat="false" ht="15" hidden="false" customHeight="false" outlineLevel="0" collapsed="false">
      <c r="A23" s="2" t="str">
        <f aca="false">Fine_values!A23</f>
        <v>Plume 1st cell: axis velocity at peak [m/s]</v>
      </c>
      <c r="B23" s="9" t="n">
        <f aca="false">IFERROR((Fine_values!C23-Fine_values!B23)/ABS(Fine_values!B23),"")</f>
        <v>-0.00659653065046048</v>
      </c>
      <c r="C23" s="9" t="n">
        <f aca="false">IFERROR((Fine_values!D23-Fine_values!C23)/ABS(Fine_values!C23),"")</f>
        <v>0.00298600817403683</v>
      </c>
      <c r="D23" s="9" t="n">
        <f aca="false">IFERROR((Fine_values!E23-Fine_values!D23)/ABS(Fine_values!D23),"")</f>
        <v>0.00280199385782442</v>
      </c>
      <c r="E23" s="9" t="n">
        <f aca="false">IFERROR((Fine_values!F23-Fine_values!E23)/ABS(Fine_values!E23),"")</f>
        <v>-0.00263656692578003</v>
      </c>
      <c r="F23" s="9" t="n">
        <f aca="false">IFERROR((Fine_values!G23-Fine_values!F23)/ABS(Fine_values!F23),"")</f>
        <v>0.0125087548471959</v>
      </c>
      <c r="G23" s="9" t="n">
        <f aca="false">IFERROR((Fine_values!H23-Fine_values!G23)/ABS(Fine_values!G23),"")</f>
        <v>-0.00612860366535198</v>
      </c>
      <c r="H23" s="9" t="n">
        <f aca="false">IFERROR((Fine_values!I23-Fine_values!H23)/ABS(Fine_values!H23),"")</f>
        <v>0.044098424662185</v>
      </c>
    </row>
    <row r="24" customFormat="false" ht="15" hidden="false" customHeight="false" outlineLevel="0" collapsed="false">
      <c r="A24" s="2" t="str">
        <f aca="false">Fine_values!A24</f>
        <v>Plume 1st cell: end (closing shock) x [m]</v>
      </c>
      <c r="B24" s="9" t="n">
        <f aca="false">IFERROR((Fine_values!C24-Fine_values!B24)/ABS(Fine_values!B24),"")</f>
        <v>-0.0451561464270407</v>
      </c>
      <c r="C24" s="9" t="n">
        <f aca="false">IFERROR((Fine_values!D24-Fine_values!C24)/ABS(Fine_values!C24),"")</f>
        <v>0.0249903465080845</v>
      </c>
      <c r="D24" s="9" t="n">
        <f aca="false">IFERROR((Fine_values!E24-Fine_values!D24)/ABS(Fine_values!D24),"")</f>
        <v>0.0775577871951519</v>
      </c>
      <c r="E24" s="9" t="n">
        <f aca="false">IFERROR((Fine_values!F24-Fine_values!E24)/ABS(Fine_values!E24),"")</f>
        <v>-0.0383839174263642</v>
      </c>
      <c r="F24" s="9" t="n">
        <f aca="false">IFERROR((Fine_values!G24-Fine_values!F24)/ABS(Fine_values!F24),"")</f>
        <v>-0.0274577076489141</v>
      </c>
      <c r="G24" s="9" t="n">
        <f aca="false">IFERROR((Fine_values!H24-Fine_values!G24)/ABS(Fine_values!G24),"")</f>
        <v>0.0315110144821918</v>
      </c>
      <c r="H24" s="9" t="n">
        <f aca="false">IFERROR((Fine_values!I24-Fine_values!H24)/ABS(Fine_values!H24),"")</f>
        <v>-0.0568473220920861</v>
      </c>
    </row>
    <row r="25" customFormat="false" ht="15" hidden="false" customHeight="false" outlineLevel="0" collapsed="false">
      <c r="A25" s="2" t="str">
        <f aca="false">Fine_values!A25</f>
        <v>Plume 1st cell: length from lip [m]</v>
      </c>
      <c r="B25" s="9" t="n">
        <f aca="false">IFERROR((Fine_values!C25-Fine_values!B25)/ABS(Fine_values!B25),"")</f>
        <v>-0.0751747244516732</v>
      </c>
      <c r="C25" s="9" t="n">
        <f aca="false">IFERROR((Fine_values!D25-Fine_values!C25)/ABS(Fine_values!C25),"")</f>
        <v>0.0429536344184954</v>
      </c>
      <c r="D25" s="9" t="n">
        <f aca="false">IFERROR((Fine_values!E25-Fine_values!D25)/ABS(Fine_values!D25),"")</f>
        <v>0.131011018093934</v>
      </c>
      <c r="E25" s="9" t="n">
        <f aca="false">IFERROR((Fine_values!F25-Fine_values!E25)/ABS(Fine_values!E25),"")</f>
        <v>-0.0617739599562066</v>
      </c>
      <c r="F25" s="9" t="n">
        <f aca="false">IFERROR((Fine_values!G25-Fine_values!F25)/ABS(Fine_values!F25),"")</f>
        <v>-0.0452912866232661</v>
      </c>
      <c r="G25" s="9" t="n">
        <f aca="false">IFERROR((Fine_values!H25-Fine_values!G25)/ABS(Fine_values!G25),"")</f>
        <v>0.0529480995693672</v>
      </c>
      <c r="H25" s="9" t="n">
        <f aca="false">IFERROR((Fine_values!I25-Fine_values!H25)/ABS(Fine_values!H25),"")</f>
        <v>-0.093576092762013</v>
      </c>
    </row>
    <row r="26" customFormat="false" ht="15" hidden="false" customHeight="false" outlineLevel="0" collapsed="false">
      <c r="A26" s="2" t="str">
        <f aca="false">Fine_values!A26</f>
        <v>Plume 1st cell: axis Mach behind closing shock [-]</v>
      </c>
      <c r="B26" s="9" t="n">
        <f aca="false">IFERROR((Fine_values!C26-Fine_values!B26)/ABS(Fine_values!B26),"")</f>
        <v>-0.100347082999198</v>
      </c>
      <c r="C26" s="9" t="n">
        <f aca="false">IFERROR((Fine_values!D26-Fine_values!C26)/ABS(Fine_values!C26),"")</f>
        <v>0.0613374744949477</v>
      </c>
      <c r="D26" s="9" t="n">
        <f aca="false">IFERROR((Fine_values!E26-Fine_values!D26)/ABS(Fine_values!D26),"")</f>
        <v>-0.274993930724967</v>
      </c>
      <c r="E26" s="9" t="n">
        <f aca="false">IFERROR((Fine_values!F26-Fine_values!E26)/ABS(Fine_values!E26),"")</f>
        <v>-0.976702052562989</v>
      </c>
      <c r="F26" s="9" t="n">
        <f aca="false">IFERROR((Fine_values!G26-Fine_values!F26)/ABS(Fine_values!F26),"")</f>
        <v>59.2918040810619</v>
      </c>
      <c r="G26" s="9" t="n">
        <f aca="false">IFERROR((Fine_values!H26-Fine_values!G26)/ABS(Fine_values!G26),"")</f>
        <v>-0.222922344421465</v>
      </c>
      <c r="H26" s="9" t="n">
        <f aca="false">IFERROR((Fine_values!I26-Fine_values!H26)/ABS(Fine_values!H26),"")</f>
        <v>0.112187113944831</v>
      </c>
    </row>
    <row r="27" customFormat="false" ht="15" hidden="false" customHeight="false" outlineLevel="0" collapsed="false">
      <c r="A27" s="2" t="str">
        <f aca="false">Fine_values!A27</f>
        <v>Plume 1st cell: axis pressure behind closing shock [Pa]</v>
      </c>
      <c r="B27" s="9" t="n">
        <f aca="false">IFERROR((Fine_values!C27-Fine_values!B27)/ABS(Fine_values!B27),"")</f>
        <v>0.687675958747247</v>
      </c>
      <c r="C27" s="9" t="n">
        <f aca="false">IFERROR((Fine_values!D27-Fine_values!C27)/ABS(Fine_values!C27),"")</f>
        <v>-0.452211737301229</v>
      </c>
      <c r="D27" s="9" t="n">
        <f aca="false">IFERROR((Fine_values!E27-Fine_values!D27)/ABS(Fine_values!D27),"")</f>
        <v>-0.123365916388567</v>
      </c>
      <c r="E27" s="9" t="n">
        <f aca="false">IFERROR((Fine_values!F27-Fine_values!E27)/ABS(Fine_values!E27),"")</f>
        <v>1.27021761042514</v>
      </c>
      <c r="F27" s="9" t="n">
        <f aca="false">IFERROR((Fine_values!G27-Fine_values!F27)/ABS(Fine_values!F27),"")</f>
        <v>-0.42638970099997</v>
      </c>
      <c r="G27" s="9" t="n">
        <f aca="false">IFERROR((Fine_values!H27-Fine_values!G27)/ABS(Fine_values!G27),"")</f>
        <v>-0.166004941343147</v>
      </c>
      <c r="H27" s="9" t="n">
        <f aca="false">IFERROR((Fine_values!I27-Fine_values!H27)/ABS(Fine_values!H27),"")</f>
        <v>-0.0135485635208035</v>
      </c>
    </row>
    <row r="28" customFormat="false" ht="15" hidden="false" customHeight="false" outlineLevel="0" collapsed="false">
      <c r="A28" s="2" t="str">
        <f aca="false">Fine_values!A28</f>
        <v>Plume 1st cell: axis temperature behind closing shock [K]</v>
      </c>
      <c r="B28" s="9" t="n">
        <f aca="false">IFERROR((Fine_values!C28-Fine_values!B28)/ABS(Fine_values!B28),"")</f>
        <v>0.134814029490721</v>
      </c>
      <c r="C28" s="9" t="n">
        <f aca="false">IFERROR((Fine_values!D28-Fine_values!C28)/ABS(Fine_values!C28),"")</f>
        <v>-0.107818894769547</v>
      </c>
      <c r="D28" s="9" t="n">
        <f aca="false">IFERROR((Fine_values!E28-Fine_values!D28)/ABS(Fine_values!D28),"")</f>
        <v>0.0353674118336486</v>
      </c>
      <c r="E28" s="9" t="n">
        <f aca="false">IFERROR((Fine_values!F28-Fine_values!E28)/ABS(Fine_values!E28),"")</f>
        <v>0.171441296410561</v>
      </c>
      <c r="F28" s="9" t="n">
        <f aca="false">IFERROR((Fine_values!G28-Fine_values!F28)/ABS(Fine_values!F28),"")</f>
        <v>-0.14531708534156</v>
      </c>
      <c r="G28" s="9" t="n">
        <f aca="false">IFERROR((Fine_values!H28-Fine_values!G28)/ABS(Fine_values!G28),"")</f>
        <v>-0.00411936425559514</v>
      </c>
      <c r="H28" s="9" t="n">
        <f aca="false">IFERROR((Fine_values!I28-Fine_values!H28)/ABS(Fine_values!H28),"")</f>
        <v>-0.0429878885730105</v>
      </c>
    </row>
    <row r="29" customFormat="false" ht="15" hidden="false" customHeight="false" outlineLevel="0" collapsed="false">
      <c r="A29" s="2" t="str">
        <f aca="false">Fine_values!A29</f>
        <v>Plume 1st cell: axis density behind closing shock [kg/m3]</v>
      </c>
      <c r="B29" s="9" t="n">
        <f aca="false">IFERROR((Fine_values!C29-Fine_values!B29)/ABS(Fine_values!B29),"")</f>
        <v>0.740120592991099</v>
      </c>
      <c r="C29" s="9" t="n">
        <f aca="false">IFERROR((Fine_values!D29-Fine_values!C29)/ABS(Fine_values!C29),"")</f>
        <v>-0.432470103952271</v>
      </c>
      <c r="D29" s="9" t="n">
        <f aca="false">IFERROR((Fine_values!E29-Fine_values!D29)/ABS(Fine_values!D29),"")</f>
        <v>-0.0924552987352813</v>
      </c>
      <c r="E29" s="9" t="n">
        <f aca="false">IFERROR((Fine_values!F29-Fine_values!E29)/ABS(Fine_values!E29),"")</f>
        <v>0.0432568687456268</v>
      </c>
      <c r="F29" s="9" t="n">
        <f aca="false">IFERROR((Fine_values!G29-Fine_values!F29)/ABS(Fine_values!F29),"")</f>
        <v>0.194473176670869</v>
      </c>
      <c r="G29" s="9" t="n">
        <f aca="false">IFERROR((Fine_values!H29-Fine_values!G29)/ABS(Fine_values!G29),"")</f>
        <v>-0.159901768217192</v>
      </c>
      <c r="H29" s="9" t="n">
        <f aca="false">IFERROR((Fine_values!I29-Fine_values!H29)/ABS(Fine_values!H29),"")</f>
        <v>0.0165085602924835</v>
      </c>
    </row>
    <row r="30" customFormat="false" ht="15" hidden="false" customHeight="false" outlineLevel="0" collapsed="false">
      <c r="A30" s="2" t="str">
        <f aca="false">Fine_values!A30</f>
        <v>Plume 1st cell: pressure ratio across closing shock [-]</v>
      </c>
      <c r="B30" s="9" t="n">
        <f aca="false">IFERROR((Fine_values!C30-Fine_values!B30)/ABS(Fine_values!B30),"")</f>
        <v>0.524681727046126</v>
      </c>
      <c r="C30" s="9" t="n">
        <f aca="false">IFERROR((Fine_values!D30-Fine_values!C30)/ABS(Fine_values!C30),"")</f>
        <v>-0.416419281103357</v>
      </c>
      <c r="D30" s="9" t="n">
        <f aca="false">IFERROR((Fine_values!E30-Fine_values!D30)/ABS(Fine_values!D30),"")</f>
        <v>-0.0561628752214094</v>
      </c>
      <c r="E30" s="9" t="n">
        <f aca="false">IFERROR((Fine_values!F30-Fine_values!E30)/ABS(Fine_values!E30),"")</f>
        <v>1.11308566307748</v>
      </c>
      <c r="F30" s="9" t="n">
        <f aca="false">IFERROR((Fine_values!G30-Fine_values!F30)/ABS(Fine_values!F30),"")</f>
        <v>-0.356463590511466</v>
      </c>
      <c r="G30" s="9" t="n">
        <f aca="false">IFERROR((Fine_values!H30-Fine_values!G30)/ABS(Fine_values!G30),"")</f>
        <v>-0.254952382728579</v>
      </c>
      <c r="H30" s="9" t="n">
        <f aca="false">IFERROR((Fine_values!I30-Fine_values!H30)/ABS(Fine_values!H30),"")</f>
        <v>0.350212545143586</v>
      </c>
    </row>
    <row r="31" customFormat="false" ht="15" hidden="false" customHeight="false" outlineLevel="0" collapsed="false">
      <c r="A31" s="2" t="str">
        <f aca="false">Fine_values!A31</f>
        <v>Final relative residual [-]</v>
      </c>
      <c r="B31" s="9" t="n">
        <f aca="false">IFERROR((Fine_values!C31-Fine_values!B31)/ABS(Fine_values!B31),"")</f>
        <v>0.105885133538171</v>
      </c>
      <c r="C31" s="9" t="n">
        <f aca="false">IFERROR((Fine_values!D31-Fine_values!C31)/ABS(Fine_values!C31),"")</f>
        <v>-0.251122034622783</v>
      </c>
      <c r="D31" s="9" t="n">
        <f aca="false">IFERROR((Fine_values!E31-Fine_values!D31)/ABS(Fine_values!D31),"")</f>
        <v>0.150684931506849</v>
      </c>
      <c r="E31" s="9" t="n">
        <f aca="false">IFERROR((Fine_values!F31-Fine_values!E31)/ABS(Fine_values!E31),"")</f>
        <v>1.00793650793651</v>
      </c>
      <c r="F31" s="9" t="n">
        <f aca="false">IFERROR((Fine_values!G31-Fine_values!F31)/ABS(Fine_values!F31),"")</f>
        <v>-0.405014822134387</v>
      </c>
      <c r="G31" s="9" t="n">
        <f aca="false">IFERROR((Fine_values!H31-Fine_values!G31)/ABS(Fine_values!G31),"")</f>
        <v>-0.057089474776832</v>
      </c>
      <c r="H31" s="9" t="n">
        <f aca="false">IFERROR((Fine_values!I31-Fine_values!H31)/ABS(Fine_values!H31),"")</f>
        <v>0.138265081461911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3" t="s">
        <v>85</v>
      </c>
    </row>
    <row r="3" customFormat="false" ht="15" hidden="false" customHeight="false" outlineLevel="0" collapsed="false">
      <c r="A3" s="4" t="s">
        <v>54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82</v>
      </c>
      <c r="G3" s="4" t="s">
        <v>83</v>
      </c>
      <c r="H3" s="4" t="s">
        <v>84</v>
      </c>
    </row>
    <row r="4" customFormat="false" ht="15" hidden="false" customHeight="false" outlineLevel="0" collapsed="false">
      <c r="A4" s="2" t="s">
        <v>55</v>
      </c>
      <c r="B4" s="10" t="n">
        <v>0.064</v>
      </c>
      <c r="C4" s="10" t="n">
        <v>0.035</v>
      </c>
      <c r="D4" s="10" t="n">
        <v>0.0483</v>
      </c>
      <c r="E4" s="10" t="n">
        <v>0.0266</v>
      </c>
      <c r="F4" s="10" t="n">
        <v>0.0573</v>
      </c>
      <c r="G4" s="10" t="n">
        <v>0.0258</v>
      </c>
      <c r="H4" s="10" t="n">
        <v>0.0431</v>
      </c>
    </row>
    <row r="5" customFormat="false" ht="15" hidden="false" customHeight="false" outlineLevel="0" collapsed="false">
      <c r="A5" s="2" t="s">
        <v>56</v>
      </c>
      <c r="B5" s="10" t="n">
        <v>0.0991</v>
      </c>
      <c r="C5" s="10" t="n">
        <v>0.0822</v>
      </c>
      <c r="D5" s="10" t="n">
        <v>0.0702</v>
      </c>
      <c r="E5" s="10" t="n">
        <v>0.0598</v>
      </c>
      <c r="F5" s="10" t="n">
        <v>0.053</v>
      </c>
      <c r="G5" s="10" t="n">
        <v>0.0462</v>
      </c>
      <c r="H5" s="10" t="n">
        <v>0.0413</v>
      </c>
    </row>
    <row r="6" customFormat="false" ht="15" hidden="false" customHeight="false" outlineLevel="0" collapsed="false">
      <c r="A6" s="2" t="s">
        <v>57</v>
      </c>
      <c r="B6" s="10" t="n">
        <v>0.0746</v>
      </c>
      <c r="C6" s="10" t="n">
        <v>0.049</v>
      </c>
      <c r="D6" s="10" t="n">
        <v>0.0535</v>
      </c>
      <c r="E6" s="10" t="n">
        <v>0.0336</v>
      </c>
      <c r="F6" s="10" t="n">
        <v>0.0477</v>
      </c>
      <c r="G6" s="10" t="n">
        <v>0.0295</v>
      </c>
      <c r="H6" s="10" t="n">
        <v>0.0428</v>
      </c>
    </row>
    <row r="7" customFormat="false" ht="15" hidden="false" customHeight="false" outlineLevel="0" collapsed="false">
      <c r="A7" s="2" t="s">
        <v>58</v>
      </c>
      <c r="B7" s="10" t="n">
        <v>0.1126</v>
      </c>
      <c r="C7" s="10" t="n">
        <v>0.093</v>
      </c>
      <c r="D7" s="10" t="n">
        <v>0.0797</v>
      </c>
      <c r="E7" s="10" t="n">
        <v>0.0674</v>
      </c>
      <c r="F7" s="10" t="n">
        <v>0.0605</v>
      </c>
      <c r="G7" s="10" t="n">
        <v>0.0517</v>
      </c>
      <c r="H7" s="10" t="n">
        <v>0.047</v>
      </c>
    </row>
    <row r="8" customFormat="false" ht="15" hidden="false" customHeight="false" outlineLevel="0" collapsed="false">
      <c r="A8" s="2" t="s">
        <v>59</v>
      </c>
      <c r="B8" s="10" t="n">
        <v>0.0648</v>
      </c>
      <c r="C8" s="10" t="n">
        <v>0.0411</v>
      </c>
      <c r="D8" s="10" t="n">
        <v>0.0523</v>
      </c>
      <c r="E8" s="10" t="n">
        <v>0.029</v>
      </c>
      <c r="F8" s="10" t="n">
        <v>0.0553</v>
      </c>
      <c r="G8" s="10" t="n">
        <v>0.0287</v>
      </c>
      <c r="H8" s="10" t="n">
        <v>0.0447</v>
      </c>
    </row>
    <row r="9" customFormat="false" ht="15" hidden="false" customHeight="false" outlineLevel="0" collapsed="false">
      <c r="A9" s="2" t="s">
        <v>60</v>
      </c>
      <c r="B9" s="10" t="n">
        <v>3.3513</v>
      </c>
      <c r="C9" s="10" t="n">
        <v>1.8905</v>
      </c>
      <c r="D9" s="10" t="n">
        <v>2.9743</v>
      </c>
      <c r="E9" s="10" t="n">
        <v>2.2862</v>
      </c>
      <c r="F9" s="10" t="n">
        <v>0.3855</v>
      </c>
      <c r="G9" s="10" t="n">
        <v>2.7214</v>
      </c>
      <c r="H9" s="10" t="n">
        <v>4.9643</v>
      </c>
    </row>
    <row r="10" customFormat="false" ht="15" hidden="false" customHeight="false" outlineLevel="0" collapsed="false">
      <c r="A10" s="2" t="s">
        <v>61</v>
      </c>
      <c r="B10" s="10" t="n">
        <v>6.9928</v>
      </c>
      <c r="C10" s="10" t="n">
        <v>2.8648</v>
      </c>
      <c r="D10" s="10" t="n">
        <v>5.9324</v>
      </c>
      <c r="E10" s="10" t="n">
        <v>3.861</v>
      </c>
      <c r="F10" s="10" t="n">
        <v>9.8851</v>
      </c>
      <c r="G10" s="10" t="n">
        <v>4.7099</v>
      </c>
      <c r="H10" s="10" t="n">
        <v>11.156</v>
      </c>
    </row>
    <row r="11" customFormat="false" ht="15" hidden="false" customHeight="false" outlineLevel="0" collapsed="false">
      <c r="A11" s="2" t="s">
        <v>62</v>
      </c>
      <c r="B11" s="10" t="n">
        <v>4.5966</v>
      </c>
      <c r="C11" s="10" t="n">
        <v>2.1462</v>
      </c>
      <c r="D11" s="10" t="n">
        <v>5.0578</v>
      </c>
      <c r="E11" s="10" t="n">
        <v>2.4096</v>
      </c>
      <c r="F11" s="10" t="n">
        <v>6.3577</v>
      </c>
      <c r="G11" s="10" t="n">
        <v>3.4002</v>
      </c>
      <c r="H11" s="10" t="n">
        <v>9.4768</v>
      </c>
    </row>
    <row r="12" customFormat="false" ht="15" hidden="false" customHeight="false" outlineLevel="0" collapsed="false">
      <c r="A12" s="2" t="s">
        <v>63</v>
      </c>
      <c r="B12" s="10" t="n">
        <v>7.2289</v>
      </c>
      <c r="C12" s="10" t="n">
        <v>2.9645</v>
      </c>
      <c r="D12" s="10" t="n">
        <v>6.1398</v>
      </c>
      <c r="E12" s="10" t="n">
        <v>3.7524</v>
      </c>
      <c r="F12" s="10" t="n">
        <v>9.922</v>
      </c>
      <c r="G12" s="10" t="n">
        <v>4.5009</v>
      </c>
      <c r="H12" s="10" t="n">
        <v>12.2857</v>
      </c>
    </row>
    <row r="13" customFormat="false" ht="15" hidden="false" customHeight="false" outlineLevel="0" collapsed="false">
      <c r="A13" s="2" t="s">
        <v>64</v>
      </c>
      <c r="B13" s="10" t="n">
        <v>3.2661</v>
      </c>
      <c r="C13" s="10" t="n">
        <v>1.8236</v>
      </c>
      <c r="D13" s="10" t="n">
        <v>2.7245</v>
      </c>
      <c r="E13" s="10" t="n">
        <v>2.1108</v>
      </c>
      <c r="F13" s="10" t="n">
        <v>3.9462</v>
      </c>
      <c r="G13" s="10" t="n">
        <v>2.4505</v>
      </c>
      <c r="H13" s="10" t="n">
        <v>5.7198</v>
      </c>
    </row>
    <row r="14" customFormat="false" ht="15" hidden="false" customHeight="false" outlineLevel="0" collapsed="false">
      <c r="A14" s="2" t="s">
        <v>65</v>
      </c>
      <c r="B14" s="10" t="n">
        <v>7.5214</v>
      </c>
      <c r="C14" s="10" t="n">
        <v>10.653</v>
      </c>
      <c r="D14" s="10" t="n">
        <v>3.4831</v>
      </c>
      <c r="E14" s="10" t="n">
        <v>6.9612</v>
      </c>
      <c r="F14" s="10" t="n">
        <v>0.737</v>
      </c>
      <c r="G14" s="10" t="n">
        <v>6.9466</v>
      </c>
      <c r="H14" s="10" t="n">
        <v>7.8829</v>
      </c>
    </row>
    <row r="15" customFormat="false" ht="15" hidden="false" customHeight="false" outlineLevel="0" collapsed="false">
      <c r="A15" s="2" t="s">
        <v>66</v>
      </c>
      <c r="B15" s="10" t="n">
        <v>17.9426</v>
      </c>
      <c r="C15" s="10" t="n">
        <v>13.6999</v>
      </c>
      <c r="D15" s="10" t="n">
        <v>4.6236</v>
      </c>
      <c r="E15" s="10" t="n">
        <v>35.4076</v>
      </c>
      <c r="F15" s="10" t="n">
        <v>11.1821</v>
      </c>
      <c r="G15" s="10" t="n">
        <v>9.5948</v>
      </c>
      <c r="H15" s="10" t="n">
        <v>8.5831</v>
      </c>
    </row>
    <row r="16" customFormat="false" ht="15" hidden="false" customHeight="false" outlineLevel="0" collapsed="false">
      <c r="A16" s="2" t="s">
        <v>67</v>
      </c>
      <c r="B16" s="10" t="n">
        <v>10.2448</v>
      </c>
      <c r="C16" s="10" t="n">
        <v>13.5029</v>
      </c>
      <c r="D16" s="10" t="n">
        <v>5.5594</v>
      </c>
      <c r="E16" s="10" t="n">
        <v>12.5537</v>
      </c>
      <c r="F16" s="10" t="n">
        <v>11.6975</v>
      </c>
      <c r="G16" s="10" t="n">
        <v>10.569</v>
      </c>
      <c r="H16" s="10" t="n">
        <v>16.2632</v>
      </c>
    </row>
    <row r="17" customFormat="false" ht="15" hidden="false" customHeight="false" outlineLevel="0" collapsed="false">
      <c r="A17" s="2" t="s">
        <v>68</v>
      </c>
      <c r="B17" s="10" t="n">
        <v>24.0095</v>
      </c>
      <c r="C17" s="10" t="n">
        <v>17.7024</v>
      </c>
      <c r="D17" s="10" t="n">
        <v>6.0444</v>
      </c>
      <c r="E17" s="10" t="n">
        <v>40.1103</v>
      </c>
      <c r="F17" s="10" t="n">
        <v>11.8845</v>
      </c>
      <c r="G17" s="10" t="n">
        <v>13.2386</v>
      </c>
      <c r="H17" s="10" t="n">
        <v>21.1679</v>
      </c>
    </row>
    <row r="18" customFormat="false" ht="15" hidden="false" customHeight="false" outlineLevel="0" collapsed="false">
      <c r="A18" s="2" t="s">
        <v>69</v>
      </c>
      <c r="B18" s="10" t="n">
        <v>9.7786</v>
      </c>
      <c r="C18" s="10" t="n">
        <v>13.4732</v>
      </c>
      <c r="D18" s="10" t="n">
        <v>3.5128</v>
      </c>
      <c r="E18" s="10" t="n">
        <v>10.9865</v>
      </c>
      <c r="F18" s="10" t="n">
        <v>10.8353</v>
      </c>
      <c r="G18" s="10" t="n">
        <v>9.2156</v>
      </c>
      <c r="H18" s="10" t="n">
        <v>12.549</v>
      </c>
    </row>
    <row r="20" customFormat="false" ht="15" hidden="false" customHeight="false" outlineLevel="0" collapsed="false">
      <c r="A20" s="8" t="s">
        <v>70</v>
      </c>
    </row>
    <row r="21" customFormat="false" ht="15" hidden="false" customHeight="false" outlineLevel="0" collapsed="false">
      <c r="A21" s="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2026-10-08T14:22:34Z</dcterms:created>
  <dc:creator>openpyxl</dc:creator>
  <dc:description/>
  <dc:language>en-US</dc:language>
  <cp:lastModifiedBy/>
  <dcterms:modified xsi:type="dcterms:W3CDTF">2026-10-08T14:29:36Z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