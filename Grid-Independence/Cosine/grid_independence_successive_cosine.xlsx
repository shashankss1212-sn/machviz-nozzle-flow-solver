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620" tabRatio="500" firstSheet="3"/>
  </bookViews>
  <sheets>
    <sheet name="README" sheetId="1" r:id="rId1"/>
    <sheet name="Coarse_values" sheetId="2" r:id="rId2"/>
    <sheet name="Coarse_successive_%" sheetId="3" r:id="rId3"/>
    <sheet name="Coarse_fields_successive" sheetId="4" r:id="rId4"/>
    <sheet name="Fine_values" sheetId="5" r:id="rId5"/>
    <sheet name="Fine_successive_%" sheetId="6" r:id="rId6"/>
    <sheet name="Fine_fields_successiv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<sst xmlns="http://schemas.openxmlformats.org/spreadsheetml/2006/main" count="153" uniqueCount="86">
  <si>
    <t>Grid independence study - successive refinement (hybrid HLL/HLLC open-plume solver, order 1, 40,000 iterations)</t>
  </si>
  <si>
    <t>No fixed base mesh: every mesh is compared with the previous (next coarser) mesh in its own study.</t>
  </si>
  <si>
    <t>Coarse study: 105x28x77 -&gt; 195x52x143 (levels -30% ... +30% of 150x40x110).  Fine study: 180x45x139 -&gt; 320x80x246 (levels -10% ... +60% of 200x50x154).</t>
  </si>
  <si>
    <t>Sheets: *_values = raw values per mesh; *_successive_% = % change vs previous mesh (formulas); *_fields_successive = whole-field change vs previous mesh.</t>
  </si>
  <si>
    <t>Recommended grid-independence quantities: inlet mass flow and wall-pressure thrust (exit-plane values pick up the unsteady flow at the lip).</t>
  </si>
  <si>
    <t>Residual row: final relative residual, not a physical property; its % change is not meaningful.</t>
  </si>
  <si>
    <t>Plume 1st cell rows (axis values): peak = axis Mach maximum between x = 3 and 7.5 m; closing shock = steepest axial Mach drop after the peak (before x = 8.5 m);</t>
  </si>
  <si>
    <t>'behind closing shock' = minimum axis Mach (and the corresponding T, rho) and maximum axis pressure within 1.5 m downstream of that shock. Lip of the nozzle is at x = 3 m.</t>
  </si>
  <si>
    <t>Coarse mesh study (hybrid HLL/HLLC solver) - values per mesh</t>
  </si>
  <si>
    <t>Property</t>
  </si>
  <si>
    <t>-30%
105x28x77</t>
  </si>
  <si>
    <t>-20%
120x32x88</t>
  </si>
  <si>
    <t>-10%
135x36x99</t>
  </si>
  <si>
    <t>0%
150x40x110</t>
  </si>
  <si>
    <t>+10%
165x44x121</t>
  </si>
  <si>
    <t>+20%
180x48x132</t>
  </si>
  <si>
    <t>+30%
195x52x143</t>
  </si>
  <si>
    <t>Cells [-]</t>
  </si>
  <si>
    <t>Mass flow, inlet [kg/s]</t>
  </si>
  <si>
    <t>Mass flow, exit plane [kg/s]</t>
  </si>
  <si>
    <t>Thrust, wall-pressure method [N]</t>
  </si>
  <si>
    <t>Thrust, exit-plane method [N]</t>
  </si>
  <si>
    <t>Specific impulse Isp [s]</t>
  </si>
  <si>
    <t>Discharge coefficient Cd [-]</t>
  </si>
  <si>
    <t>Exit-axis Mach [-]</t>
  </si>
  <si>
    <t>Exit-axis temperature [K]</t>
  </si>
  <si>
    <t>Exit-axis pressure [Pa]</t>
  </si>
  <si>
    <t>Exit-axis velocity [m/s]</t>
  </si>
  <si>
    <t>Exit-axis density [kg/m3]</t>
  </si>
  <si>
    <t>Exit mass-averaged Mach [-]</t>
  </si>
  <si>
    <t>Throat-axis Mach [-]</t>
  </si>
  <si>
    <t>Plume 1st cell: x of axis Mach peak [m]</t>
  </si>
  <si>
    <t>Plume 1st cell: peak axis Mach [-]</t>
  </si>
  <si>
    <t>Plume 1st cell: axis pressure at peak [Pa]</t>
  </si>
  <si>
    <t>Plume 1st cell: axis temperature at peak [K]</t>
  </si>
  <si>
    <t>Plume 1st cell: axis density at peak [kg/m3]</t>
  </si>
  <si>
    <t>Plume 1st cell: axis velocity at peak [m/s]</t>
  </si>
  <si>
    <t>Plume 1st cell: end (closing shock) x [m]</t>
  </si>
  <si>
    <t>Plume 1st cell: length from lip [m]</t>
  </si>
  <si>
    <t>Plume 1st cell: axis Mach behind closing shock [-]</t>
  </si>
  <si>
    <t>Plume 1st cell: axis pressure behind closing shock [Pa]</t>
  </si>
  <si>
    <t>Plume 1st cell: axis temperature behind closing shock [K]</t>
  </si>
  <si>
    <t>Plume 1st cell: axis density behind closing shock [kg/m3]</t>
  </si>
  <si>
    <t>Plume 1st cell: pressure ratio across closing shock [-]</t>
  </si>
  <si>
    <t>Final relative residual [-]</t>
  </si>
  <si>
    <t>Blue = values read from each run's JSON output (sweep folder). 'Exit-axis density' = centreline cell at the nozzle exit. Plume 1st-cell definitions: see README.</t>
  </si>
  <si>
    <t>Coarse mesh study - % change relative to the PREVIOUS (next coarser) mesh: 100*(this - previous)/previous</t>
  </si>
  <si>
    <t>-30% -&gt; -20%</t>
  </si>
  <si>
    <t>-20% -&gt; -10%</t>
  </si>
  <si>
    <t>-10% -&gt; 0%</t>
  </si>
  <si>
    <t>0% -&gt; +10%</t>
  </si>
  <si>
    <t>+10% -&gt; +20%</t>
  </si>
  <si>
    <t>+20% -&gt; +30%</t>
  </si>
  <si>
    <t>Coarse mesh study - whole-field change relative to the PREVIOUS mesh (mean |difference| as % of the previous mesh's field range)</t>
  </si>
  <si>
    <t>Region / property</t>
  </si>
  <si>
    <t>Nozzle: Mach</t>
  </si>
  <si>
    <t>Nozzle: Pressure</t>
  </si>
  <si>
    <t>Nozzle: Temperature</t>
  </si>
  <si>
    <t>Nozzle: Density</t>
  </si>
  <si>
    <t>Nozzle: Velocity</t>
  </si>
  <si>
    <t>Plume 1st cell: Mach</t>
  </si>
  <si>
    <t>Plume 1st cell: Pressure</t>
  </si>
  <si>
    <t>Plume 1st cell: Temperature</t>
  </si>
  <si>
    <t>Plume 1st cell: Density</t>
  </si>
  <si>
    <t>Plume 1st cell: Velocity</t>
  </si>
  <si>
    <t>Plume: Mach</t>
  </si>
  <si>
    <t>Plume: Pressure</t>
  </si>
  <si>
    <t>Plume: Temperature</t>
  </si>
  <si>
    <t>Plume: Density</t>
  </si>
  <si>
    <t>Plume: Velocity</t>
  </si>
  <si>
    <t>Computed in Python: the finer mesh's field is linearly interpolated (scipy griddata) onto the previous mesh's cell centres; values are in % of field range (not fractions). Nozzle = x &lt;= 3 m (L_div); plume 1st cell = from the lip (x = 3 m) to the end of the 1st cell of the previous mesh; plume = all x &gt; 3 m.</t>
  </si>
  <si>
    <t>Plume rows beyond the first shock cell include the pseudo-time cycle of the 2nd cell (see analysis/second_cell_cycle.png), so they are not a pure grid effect.</t>
  </si>
  <si>
    <t>Fine mesh study (hybrid HLL/HLLC solver) - values per mesh</t>
  </si>
  <si>
    <t>-10%
180x45x139</t>
  </si>
  <si>
    <t>0%
200x50x154</t>
  </si>
  <si>
    <t>+10%
220x55x169</t>
  </si>
  <si>
    <t>+20%
240x60x185</t>
  </si>
  <si>
    <t>+30%
260x65x200</t>
  </si>
  <si>
    <t>+40%
280x70x216</t>
  </si>
  <si>
    <t>+50%
300x75x231</t>
  </si>
  <si>
    <t>+60%
320x80x246</t>
  </si>
  <si>
    <t>Fine mesh study - % change relative to the PREVIOUS (next coarser) mesh: 100*(this - previous)/previous</t>
  </si>
  <si>
    <t>+30% -&gt; +40%</t>
  </si>
  <si>
    <t>+40% -&gt; +50%</t>
  </si>
  <si>
    <t>+50% -&gt; +60%</t>
  </si>
  <si>
    <t>Fine mesh study - whole-field change relative to the PREVIOUS mesh (mean |difference| as % of the previous mesh's field range)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</si>
</sst>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00"/>
    <numFmt numFmtId="177" formatCode="0.000%;\-0.000%;0.000%"/>
    <numFmt numFmtId="178" formatCode="#,##0.0000"/>
    <numFmt numFmtId="179" formatCode="0.000E+00"/>
  </numFmts>
  <fonts count="27">
    <font>
      <sz val="11"/>
      <color theme="1"/>
      <name val="Calibri"/>
      <charset val="1"/>
    </font>
    <font>
      <b/>
      <sz val="12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9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Border="0" applyAlignment="0" applyProtection="0"/>
    <xf numFmtId="44" fontId="6" fillId="0" borderId="0" applyBorder="0" applyAlignment="0" applyProtection="0"/>
    <xf numFmtId="9" fontId="6" fillId="0" borderId="0" applyBorder="0" applyAlignment="0" applyProtection="0"/>
    <xf numFmtId="41" fontId="6" fillId="0" borderId="0" applyBorder="0" applyAlignment="0" applyProtection="0"/>
    <xf numFmtId="42" fontId="6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76" fontId="4" fillId="0" borderId="1" xfId="0" applyNumberFormat="1" applyFont="1" applyBorder="1"/>
    <xf numFmtId="0" fontId="5" fillId="0" borderId="1" xfId="0" applyFont="1" applyBorder="1"/>
    <xf numFmtId="177" fontId="3" fillId="0" borderId="1" xfId="0" applyNumberFormat="1" applyFont="1" applyBorder="1"/>
    <xf numFmtId="0" fontId="4" fillId="0" borderId="1" xfId="0" applyFont="1" applyBorder="1"/>
    <xf numFmtId="178" fontId="4" fillId="0" borderId="1" xfId="0" applyNumberFormat="1" applyFont="1" applyBorder="1"/>
    <xf numFmtId="179" fontId="4" fillId="0" borderId="1" xfId="0" applyNumberFormat="1" applyFont="1" applyBorder="1"/>
    <xf numFmtId="0" fontId="2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E1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tabSelected="1" workbookViewId="0">
      <selection activeCell="A12" sqref="A12"/>
    </sheetView>
  </sheetViews>
  <sheetFormatPr defaultColWidth="8.67619047619048" defaultRowHeight="15" outlineLevelRow="7"/>
  <cols>
    <col min="1" max="1" width="140" style="1" customWidth="1"/>
    <col min="2" max="16384" width="8.67619047619048" style="1"/>
  </cols>
  <sheetData>
    <row r="1" spans="1:1">
      <c r="A1" s="11" t="s">
        <v>0</v>
      </c>
    </row>
    <row r="2" spans="1:1">
      <c r="A2" s="4" t="s">
        <v>1</v>
      </c>
    </row>
    <row r="3" spans="1:1">
      <c r="A3" s="4" t="s">
        <v>2</v>
      </c>
    </row>
    <row r="4" spans="1:1">
      <c r="A4" s="4" t="s">
        <v>3</v>
      </c>
    </row>
    <row r="5" spans="1:1">
      <c r="A5" s="4" t="s">
        <v>4</v>
      </c>
    </row>
    <row r="6" spans="1:1">
      <c r="A6" s="4" t="s">
        <v>5</v>
      </c>
    </row>
    <row r="7" spans="1:1">
      <c r="A7" s="4" t="s">
        <v>6</v>
      </c>
    </row>
    <row r="8" spans="1:1">
      <c r="A8" s="4" t="s">
        <v>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workbookViewId="0">
      <selection activeCell="A12" sqref="A12"/>
    </sheetView>
  </sheetViews>
  <sheetFormatPr defaultColWidth="8.67619047619048" defaultRowHeight="15" outlineLevelCol="7"/>
  <cols>
    <col min="1" max="1" width="40" style="1" customWidth="1"/>
    <col min="2" max="8" width="15" style="1" customWidth="1"/>
    <col min="9" max="16384" width="8.67619047619048" style="1"/>
  </cols>
  <sheetData>
    <row r="1" ht="15.75" spans="1:8">
      <c r="A1" s="2" t="s">
        <v>8</v>
      </c>
    </row>
    <row r="3" ht="25.5" spans="1:8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</row>
    <row r="4" spans="1:8">
      <c r="A4" s="4" t="s">
        <v>17</v>
      </c>
      <c r="B4" s="8">
        <v>5096</v>
      </c>
      <c r="C4" s="8">
        <v>6656</v>
      </c>
      <c r="D4" s="8">
        <v>8424</v>
      </c>
      <c r="E4" s="8">
        <v>10400</v>
      </c>
      <c r="F4" s="8">
        <v>12584</v>
      </c>
      <c r="G4" s="8">
        <v>14976</v>
      </c>
      <c r="H4" s="8">
        <v>17576</v>
      </c>
    </row>
    <row r="5" spans="1:8">
      <c r="A5" s="4" t="s">
        <v>18</v>
      </c>
      <c r="B5" s="9">
        <v>2308</v>
      </c>
      <c r="C5" s="9">
        <v>2316.51</v>
      </c>
      <c r="D5" s="9">
        <v>2323.58</v>
      </c>
      <c r="E5" s="9">
        <v>2329.53</v>
      </c>
      <c r="F5" s="9">
        <v>2333.59</v>
      </c>
      <c r="G5" s="9">
        <v>2338.04</v>
      </c>
      <c r="H5" s="9">
        <v>2341.89</v>
      </c>
    </row>
    <row r="6" spans="1:8">
      <c r="A6" s="4" t="s">
        <v>19</v>
      </c>
      <c r="B6" s="9">
        <v>2287.92</v>
      </c>
      <c r="C6" s="9">
        <v>2301.65</v>
      </c>
      <c r="D6" s="9">
        <v>2312.57</v>
      </c>
      <c r="E6" s="9">
        <v>2320.31</v>
      </c>
      <c r="F6" s="9">
        <v>2325.72</v>
      </c>
      <c r="G6" s="9">
        <v>2331.21</v>
      </c>
      <c r="H6" s="9">
        <v>2336.35</v>
      </c>
    </row>
    <row r="7" spans="1:8">
      <c r="A7" s="4" t="s">
        <v>20</v>
      </c>
      <c r="B7" s="9">
        <v>4404770</v>
      </c>
      <c r="C7" s="9">
        <v>4422500</v>
      </c>
      <c r="D7" s="9">
        <v>4436800</v>
      </c>
      <c r="E7" s="9">
        <v>4448680</v>
      </c>
      <c r="F7" s="9">
        <v>4456170</v>
      </c>
      <c r="G7" s="9">
        <v>4465020</v>
      </c>
      <c r="H7" s="9">
        <v>4472600</v>
      </c>
    </row>
    <row r="8" spans="1:8">
      <c r="A8" s="4" t="s">
        <v>21</v>
      </c>
      <c r="B8" s="9">
        <v>4308010</v>
      </c>
      <c r="C8" s="9">
        <v>4342560</v>
      </c>
      <c r="D8" s="9">
        <v>4371390</v>
      </c>
      <c r="E8" s="9">
        <v>4389690</v>
      </c>
      <c r="F8" s="9">
        <v>4403930</v>
      </c>
      <c r="G8" s="9">
        <v>4416140</v>
      </c>
      <c r="H8" s="9">
        <v>4429450</v>
      </c>
    </row>
    <row r="9" spans="1:8">
      <c r="A9" s="4" t="s">
        <v>22</v>
      </c>
      <c r="B9" s="9">
        <v>192.006</v>
      </c>
      <c r="C9" s="9">
        <v>192.391</v>
      </c>
      <c r="D9" s="9">
        <v>192.755</v>
      </c>
      <c r="E9" s="9">
        <v>192.915</v>
      </c>
      <c r="F9" s="9">
        <v>193.091</v>
      </c>
      <c r="G9" s="9">
        <v>193.17</v>
      </c>
      <c r="H9" s="9">
        <v>193.326</v>
      </c>
    </row>
    <row r="10" spans="1:8">
      <c r="A10" s="4" t="s">
        <v>23</v>
      </c>
      <c r="B10" s="9">
        <v>0.939053</v>
      </c>
      <c r="C10" s="9">
        <v>0.944689</v>
      </c>
      <c r="D10" s="9">
        <v>0.949169</v>
      </c>
      <c r="E10" s="9">
        <v>0.952349</v>
      </c>
      <c r="F10" s="9">
        <v>0.954568</v>
      </c>
      <c r="G10" s="9">
        <v>0.956823</v>
      </c>
      <c r="H10" s="9">
        <v>0.958932</v>
      </c>
    </row>
    <row r="11" spans="1:8">
      <c r="A11" s="4" t="s">
        <v>24</v>
      </c>
      <c r="B11" s="9">
        <v>3.234</v>
      </c>
      <c r="C11" s="9">
        <v>3.238</v>
      </c>
      <c r="D11" s="9">
        <v>3.241</v>
      </c>
      <c r="E11" s="9">
        <v>3.244</v>
      </c>
      <c r="F11" s="9">
        <v>3.246</v>
      </c>
      <c r="G11" s="9">
        <v>3.248</v>
      </c>
      <c r="H11" s="9">
        <v>3.249</v>
      </c>
    </row>
    <row r="12" spans="1:8">
      <c r="A12" s="4" t="s">
        <v>25</v>
      </c>
      <c r="B12" s="9">
        <v>1142</v>
      </c>
      <c r="C12" s="9">
        <v>1141</v>
      </c>
      <c r="D12" s="9">
        <v>1140</v>
      </c>
      <c r="E12" s="9">
        <v>1139</v>
      </c>
      <c r="F12" s="9">
        <v>1138</v>
      </c>
      <c r="G12" s="9">
        <v>1137</v>
      </c>
      <c r="H12" s="9">
        <v>1137</v>
      </c>
    </row>
    <row r="13" spans="1:8">
      <c r="A13" s="4" t="s">
        <v>26</v>
      </c>
      <c r="B13" s="9">
        <v>44731</v>
      </c>
      <c r="C13" s="9">
        <v>45009</v>
      </c>
      <c r="D13" s="9">
        <v>45231</v>
      </c>
      <c r="E13" s="9">
        <v>45413</v>
      </c>
      <c r="F13" s="9">
        <v>45522</v>
      </c>
      <c r="G13" s="9">
        <v>45661</v>
      </c>
      <c r="H13" s="9">
        <v>45782</v>
      </c>
    </row>
    <row r="14" spans="1:8">
      <c r="A14" s="4" t="s">
        <v>27</v>
      </c>
      <c r="B14" s="9">
        <v>2134.6</v>
      </c>
      <c r="C14" s="9">
        <v>2135.9</v>
      </c>
      <c r="D14" s="9">
        <v>2136.8</v>
      </c>
      <c r="E14" s="9">
        <v>2137.6</v>
      </c>
      <c r="F14" s="9">
        <v>2138.3</v>
      </c>
      <c r="G14" s="9">
        <v>2138.8</v>
      </c>
      <c r="H14" s="9">
        <v>2139.2</v>
      </c>
    </row>
    <row r="15" spans="1:8">
      <c r="A15" s="4" t="s">
        <v>28</v>
      </c>
      <c r="B15" s="9">
        <v>0.136426</v>
      </c>
      <c r="C15" s="9">
        <v>0.13746</v>
      </c>
      <c r="D15" s="9">
        <v>0.138278</v>
      </c>
      <c r="E15" s="9">
        <v>0.138944</v>
      </c>
      <c r="F15" s="9">
        <v>0.139399</v>
      </c>
      <c r="G15" s="9">
        <v>0.139889</v>
      </c>
      <c r="H15" s="9">
        <v>0.140309</v>
      </c>
    </row>
    <row r="16" spans="1:8">
      <c r="A16" s="4" t="s">
        <v>29</v>
      </c>
      <c r="B16" s="9">
        <v>2.987</v>
      </c>
      <c r="C16" s="9">
        <v>3</v>
      </c>
      <c r="D16" s="9">
        <v>3.011</v>
      </c>
      <c r="E16" s="9">
        <v>3.017</v>
      </c>
      <c r="F16" s="9">
        <v>3.024</v>
      </c>
      <c r="G16" s="9">
        <v>3.028</v>
      </c>
      <c r="H16" s="9">
        <v>3.033</v>
      </c>
    </row>
    <row r="17" spans="1:8">
      <c r="A17" s="4" t="s">
        <v>30</v>
      </c>
      <c r="B17" s="9">
        <v>0.81982</v>
      </c>
      <c r="C17" s="9">
        <v>0.81906</v>
      </c>
      <c r="D17" s="9">
        <v>0.81836</v>
      </c>
      <c r="E17" s="9">
        <v>0.81775</v>
      </c>
      <c r="F17" s="9">
        <v>0.81726</v>
      </c>
      <c r="G17" s="9">
        <v>0.81683</v>
      </c>
      <c r="H17" s="9">
        <v>0.81646</v>
      </c>
    </row>
    <row r="18" spans="1:8">
      <c r="A18" s="4" t="s">
        <v>31</v>
      </c>
      <c r="B18" s="9">
        <v>4.19884</v>
      </c>
      <c r="C18" s="9">
        <v>4.41679</v>
      </c>
      <c r="D18" s="9">
        <v>4.59295</v>
      </c>
      <c r="E18" s="9">
        <v>4.73815</v>
      </c>
      <c r="F18" s="9">
        <v>4.92493</v>
      </c>
      <c r="G18" s="9">
        <v>5.02353</v>
      </c>
      <c r="H18" s="9">
        <v>5.17637</v>
      </c>
    </row>
    <row r="19" spans="1:8">
      <c r="A19" s="4" t="s">
        <v>32</v>
      </c>
      <c r="B19" s="9">
        <v>3.78657</v>
      </c>
      <c r="C19" s="9">
        <v>3.87399</v>
      </c>
      <c r="D19" s="9">
        <v>3.95758</v>
      </c>
      <c r="E19" s="9">
        <v>4.03316</v>
      </c>
      <c r="F19" s="9">
        <v>4.10318</v>
      </c>
      <c r="G19" s="9">
        <v>4.15906</v>
      </c>
      <c r="H19" s="9">
        <v>4.21344</v>
      </c>
    </row>
    <row r="20" spans="1:8">
      <c r="A20" s="4" t="s">
        <v>33</v>
      </c>
      <c r="B20" s="9">
        <v>17688</v>
      </c>
      <c r="C20" s="9">
        <v>15730.2</v>
      </c>
      <c r="D20" s="9">
        <v>14063.5</v>
      </c>
      <c r="E20" s="9">
        <v>12704.1</v>
      </c>
      <c r="F20" s="9">
        <v>11561</v>
      </c>
      <c r="G20" s="9">
        <v>10741.3</v>
      </c>
      <c r="H20" s="9">
        <v>9994.57</v>
      </c>
    </row>
    <row r="21" spans="1:8">
      <c r="A21" s="4" t="s">
        <v>34</v>
      </c>
      <c r="B21" s="9">
        <v>913.67</v>
      </c>
      <c r="C21" s="9">
        <v>883.552</v>
      </c>
      <c r="D21" s="9">
        <v>855.892</v>
      </c>
      <c r="E21" s="9">
        <v>831.67</v>
      </c>
      <c r="F21" s="9">
        <v>809.919</v>
      </c>
      <c r="G21" s="9">
        <v>793.114</v>
      </c>
      <c r="H21" s="9">
        <v>777.157</v>
      </c>
    </row>
    <row r="22" spans="1:8">
      <c r="A22" s="4" t="s">
        <v>35</v>
      </c>
      <c r="B22" s="9">
        <v>0.0674409</v>
      </c>
      <c r="C22" s="9">
        <v>0.0620208</v>
      </c>
      <c r="D22" s="9">
        <v>0.0572414</v>
      </c>
      <c r="E22" s="9">
        <v>0.053214</v>
      </c>
      <c r="F22" s="9">
        <v>0.0497267</v>
      </c>
      <c r="G22" s="9">
        <v>0.04718</v>
      </c>
      <c r="H22" s="9">
        <v>0.0448013</v>
      </c>
    </row>
    <row r="23" spans="1:8">
      <c r="A23" s="4" t="s">
        <v>36</v>
      </c>
      <c r="B23" s="9">
        <v>2248.43</v>
      </c>
      <c r="C23" s="9">
        <v>2264.27</v>
      </c>
      <c r="D23" s="9">
        <v>2278.72</v>
      </c>
      <c r="E23" s="9">
        <v>2291.05</v>
      </c>
      <c r="F23" s="9">
        <v>2301.91</v>
      </c>
      <c r="G23" s="9">
        <v>2310.33</v>
      </c>
      <c r="H23" s="9">
        <v>2318.24</v>
      </c>
    </row>
    <row r="24" spans="1:8">
      <c r="A24" s="4" t="s">
        <v>37</v>
      </c>
      <c r="B24" s="9">
        <v>5.13153</v>
      </c>
      <c r="C24" s="9">
        <v>5.25819</v>
      </c>
      <c r="D24" s="9">
        <v>5.35861</v>
      </c>
      <c r="E24" s="9">
        <v>5.44016</v>
      </c>
      <c r="F24" s="9">
        <v>5.57779</v>
      </c>
      <c r="G24" s="9">
        <v>5.6292</v>
      </c>
      <c r="H24" s="9">
        <v>5.67305</v>
      </c>
    </row>
    <row r="25" spans="1:8">
      <c r="A25" s="4" t="s">
        <v>38</v>
      </c>
      <c r="B25" s="9">
        <v>2.13153</v>
      </c>
      <c r="C25" s="9">
        <v>2.25819</v>
      </c>
      <c r="D25" s="9">
        <v>2.35861</v>
      </c>
      <c r="E25" s="9">
        <v>2.44016</v>
      </c>
      <c r="F25" s="9">
        <v>2.57779</v>
      </c>
      <c r="G25" s="9">
        <v>2.6292</v>
      </c>
      <c r="H25" s="9">
        <v>2.67305</v>
      </c>
    </row>
    <row r="26" spans="1:8">
      <c r="A26" s="4" t="s">
        <v>39</v>
      </c>
      <c r="B26" s="9">
        <v>2.20844</v>
      </c>
      <c r="C26" s="9">
        <v>2.16853</v>
      </c>
      <c r="D26" s="9">
        <v>2.13935</v>
      </c>
      <c r="E26" s="9">
        <v>2.1076</v>
      </c>
      <c r="F26" s="9">
        <v>2.08336</v>
      </c>
      <c r="G26" s="9">
        <v>2.06331</v>
      </c>
      <c r="H26" s="9">
        <v>2.03848</v>
      </c>
    </row>
    <row r="27" spans="1:8">
      <c r="A27" s="4" t="s">
        <v>40</v>
      </c>
      <c r="B27" s="9">
        <v>184906</v>
      </c>
      <c r="C27" s="9">
        <v>203147</v>
      </c>
      <c r="D27" s="9">
        <v>215709</v>
      </c>
      <c r="E27" s="9">
        <v>227347</v>
      </c>
      <c r="F27" s="9">
        <v>234670</v>
      </c>
      <c r="G27" s="9">
        <v>241955</v>
      </c>
      <c r="H27" s="9">
        <v>249203</v>
      </c>
    </row>
    <row r="28" spans="1:8">
      <c r="A28" s="4" t="s">
        <v>41</v>
      </c>
      <c r="B28" s="9">
        <v>1718.88</v>
      </c>
      <c r="C28" s="9">
        <v>1754.58</v>
      </c>
      <c r="D28" s="9">
        <v>1780.49</v>
      </c>
      <c r="E28" s="9">
        <v>1806.69</v>
      </c>
      <c r="F28" s="9">
        <v>1826.12</v>
      </c>
      <c r="G28" s="9">
        <v>1846.04</v>
      </c>
      <c r="H28" s="9">
        <v>1867.44</v>
      </c>
    </row>
    <row r="29" spans="1:8">
      <c r="A29" s="4" t="s">
        <v>42</v>
      </c>
      <c r="B29" s="9">
        <v>0.374748</v>
      </c>
      <c r="C29" s="9">
        <v>0.403339</v>
      </c>
      <c r="D29" s="9">
        <v>0.422051</v>
      </c>
      <c r="E29" s="9">
        <v>0.43837</v>
      </c>
      <c r="F29" s="9">
        <v>0.447675</v>
      </c>
      <c r="G29" s="9">
        <v>0.456592</v>
      </c>
      <c r="H29" s="9">
        <v>0.464572</v>
      </c>
    </row>
    <row r="30" spans="1:8">
      <c r="A30" s="4" t="s">
        <v>43</v>
      </c>
      <c r="B30" s="9">
        <v>10.4537539574853</v>
      </c>
      <c r="C30" s="9">
        <v>12.9144575402729</v>
      </c>
      <c r="D30" s="9">
        <v>15.3382159490881</v>
      </c>
      <c r="E30" s="9">
        <v>17.8955612754937</v>
      </c>
      <c r="F30" s="9">
        <v>20.2984170919471</v>
      </c>
      <c r="G30" s="9">
        <v>22.5256719391508</v>
      </c>
      <c r="H30" s="9">
        <v>24.9338390746175</v>
      </c>
    </row>
    <row r="31" spans="1:8">
      <c r="A31" s="4" t="s">
        <v>44</v>
      </c>
      <c r="B31" s="10">
        <v>0.00319</v>
      </c>
      <c r="C31" s="10">
        <v>0.00394</v>
      </c>
      <c r="D31" s="10">
        <v>0.0051</v>
      </c>
      <c r="E31" s="10">
        <v>0.01181</v>
      </c>
      <c r="F31" s="10">
        <v>0.01137</v>
      </c>
      <c r="G31" s="10">
        <v>0.01524</v>
      </c>
      <c r="H31" s="10">
        <v>0.01875</v>
      </c>
    </row>
    <row r="33" spans="1:1">
      <c r="A33" s="6" t="s">
        <v>45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A12" sqref="A12"/>
    </sheetView>
  </sheetViews>
  <sheetFormatPr defaultColWidth="8.67619047619048" defaultRowHeight="15" outlineLevelCol="6"/>
  <cols>
    <col min="1" max="1" width="40" style="1" customWidth="1"/>
    <col min="2" max="8" width="15" style="1" customWidth="1"/>
    <col min="9" max="16384" width="8.67619047619048" style="1"/>
  </cols>
  <sheetData>
    <row r="1" ht="15.75" spans="1:7">
      <c r="A1" s="2" t="s">
        <v>46</v>
      </c>
    </row>
    <row r="3" spans="1:7">
      <c r="A3" s="3" t="s">
        <v>9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52</v>
      </c>
    </row>
    <row r="4" spans="1:7">
      <c r="A4" s="4" t="str">
        <f>Coarse_values!A4</f>
        <v>Cells [-]</v>
      </c>
      <c r="B4" s="7">
        <f>IFERROR((Coarse_values!C4-Coarse_values!B4)/ABS(Coarse_values!B4),"")</f>
        <v>0.306122448979592</v>
      </c>
      <c r="C4" s="7">
        <f>IFERROR((Coarse_values!D4-Coarse_values!C4)/ABS(Coarse_values!C4),"")</f>
        <v>0.265625</v>
      </c>
      <c r="D4" s="7">
        <f>IFERROR((Coarse_values!E4-Coarse_values!D4)/ABS(Coarse_values!D4),"")</f>
        <v>0.234567901234568</v>
      </c>
      <c r="E4" s="7">
        <f>IFERROR((Coarse_values!F4-Coarse_values!E4)/ABS(Coarse_values!E4),"")</f>
        <v>0.21</v>
      </c>
      <c r="F4" s="7">
        <f>IFERROR((Coarse_values!G4-Coarse_values!F4)/ABS(Coarse_values!F4),"")</f>
        <v>0.190082644628099</v>
      </c>
      <c r="G4" s="7">
        <f>IFERROR((Coarse_values!H4-Coarse_values!G4)/ABS(Coarse_values!G4),"")</f>
        <v>0.173611111111111</v>
      </c>
    </row>
    <row r="5" spans="1:7">
      <c r="A5" s="4" t="str">
        <f>Coarse_values!A5</f>
        <v>Mass flow, inlet [kg/s]</v>
      </c>
      <c r="B5" s="7">
        <f>IFERROR((Coarse_values!C5-Coarse_values!B5)/ABS(Coarse_values!B5),"")</f>
        <v>0.00368717504332765</v>
      </c>
      <c r="C5" s="7">
        <f>IFERROR((Coarse_values!D5-Coarse_values!C5)/ABS(Coarse_values!C5),"")</f>
        <v>0.00305200495573069</v>
      </c>
      <c r="D5" s="7">
        <f>IFERROR((Coarse_values!E5-Coarse_values!D5)/ABS(Coarse_values!D5),"")</f>
        <v>0.00256070374164017</v>
      </c>
      <c r="E5" s="7">
        <f>IFERROR((Coarse_values!F5-Coarse_values!E5)/ABS(Coarse_values!E5),"")</f>
        <v>0.00174284083055378</v>
      </c>
      <c r="F5" s="7">
        <f>IFERROR((Coarse_values!G5-Coarse_values!F5)/ABS(Coarse_values!F5),"")</f>
        <v>0.00190693309450238</v>
      </c>
      <c r="G5" s="7">
        <f>IFERROR((Coarse_values!H5-Coarse_values!G5)/ABS(Coarse_values!G5),"")</f>
        <v>0.00164667841439835</v>
      </c>
    </row>
    <row r="6" spans="1:7">
      <c r="A6" s="4" t="str">
        <f>Coarse_values!A6</f>
        <v>Mass flow, exit plane [kg/s]</v>
      </c>
      <c r="B6" s="7">
        <f>IFERROR((Coarse_values!C6-Coarse_values!B6)/ABS(Coarse_values!B6),"")</f>
        <v>0.00600108395398441</v>
      </c>
      <c r="C6" s="7">
        <f>IFERROR((Coarse_values!D6-Coarse_values!C6)/ABS(Coarse_values!C6),"")</f>
        <v>0.00474442247952559</v>
      </c>
      <c r="D6" s="7">
        <f>IFERROR((Coarse_values!E6-Coarse_values!D6)/ABS(Coarse_values!D6),"")</f>
        <v>0.00334692571468097</v>
      </c>
      <c r="E6" s="7">
        <f>IFERROR((Coarse_values!F6-Coarse_values!E6)/ABS(Coarse_values!E6),"")</f>
        <v>0.00233158500372789</v>
      </c>
      <c r="F6" s="7">
        <f>IFERROR((Coarse_values!G6-Coarse_values!F6)/ABS(Coarse_values!F6),"")</f>
        <v>0.00236055931066519</v>
      </c>
      <c r="G6" s="7">
        <f>IFERROR((Coarse_values!H6-Coarse_values!G6)/ABS(Coarse_values!G6),"")</f>
        <v>0.00220486356870461</v>
      </c>
    </row>
    <row r="7" spans="1:7">
      <c r="A7" s="4" t="str">
        <f>Coarse_values!A7</f>
        <v>Thrust, wall-pressure method [N]</v>
      </c>
      <c r="B7" s="7">
        <f>IFERROR((Coarse_values!C7-Coarse_values!B7)/ABS(Coarse_values!B7),"")</f>
        <v>0.00402518179155779</v>
      </c>
      <c r="C7" s="7">
        <f>IFERROR((Coarse_values!D7-Coarse_values!C7)/ABS(Coarse_values!C7),"")</f>
        <v>0.00323346523459582</v>
      </c>
      <c r="D7" s="7">
        <f>IFERROR((Coarse_values!E7-Coarse_values!D7)/ABS(Coarse_values!D7),"")</f>
        <v>0.00267760548142806</v>
      </c>
      <c r="E7" s="7">
        <f>IFERROR((Coarse_values!F7-Coarse_values!E7)/ABS(Coarse_values!E7),"")</f>
        <v>0.00168364548585198</v>
      </c>
      <c r="F7" s="7">
        <f>IFERROR((Coarse_values!G7-Coarse_values!F7)/ABS(Coarse_values!F7),"")</f>
        <v>0.00198601040804099</v>
      </c>
      <c r="G7" s="7">
        <f>IFERROR((Coarse_values!H7-Coarse_values!G7)/ABS(Coarse_values!G7),"")</f>
        <v>0.00169764077204581</v>
      </c>
    </row>
    <row r="8" spans="1:7">
      <c r="A8" s="4" t="str">
        <f>Coarse_values!A8</f>
        <v>Thrust, exit-plane method [N]</v>
      </c>
      <c r="B8" s="7">
        <f>IFERROR((Coarse_values!C8-Coarse_values!B8)/ABS(Coarse_values!B8),"")</f>
        <v>0.00801994424339776</v>
      </c>
      <c r="C8" s="7">
        <f>IFERROR((Coarse_values!D8-Coarse_values!C8)/ABS(Coarse_values!C8),"")</f>
        <v>0.00663894108544269</v>
      </c>
      <c r="D8" s="7">
        <f>IFERROR((Coarse_values!E8-Coarse_values!D8)/ABS(Coarse_values!D8),"")</f>
        <v>0.00418631144784611</v>
      </c>
      <c r="E8" s="7">
        <f>IFERROR((Coarse_values!F8-Coarse_values!E8)/ABS(Coarse_values!E8),"")</f>
        <v>0.00324396483578567</v>
      </c>
      <c r="F8" s="7">
        <f>IFERROR((Coarse_values!G8-Coarse_values!F8)/ABS(Coarse_values!F8),"")</f>
        <v>0.00277252363230115</v>
      </c>
      <c r="G8" s="7">
        <f>IFERROR((Coarse_values!H8-Coarse_values!G8)/ABS(Coarse_values!G8),"")</f>
        <v>0.00301394430430195</v>
      </c>
    </row>
    <row r="9" spans="1:7">
      <c r="A9" s="4" t="str">
        <f>Coarse_values!A9</f>
        <v>Specific impulse Isp [s]</v>
      </c>
      <c r="B9" s="7">
        <f>IFERROR((Coarse_values!C9-Coarse_values!B9)/ABS(Coarse_values!B9),"")</f>
        <v>0.00200514567253102</v>
      </c>
      <c r="C9" s="7">
        <f>IFERROR((Coarse_values!D9-Coarse_values!C9)/ABS(Coarse_values!C9),"")</f>
        <v>0.0018919803940933</v>
      </c>
      <c r="D9" s="7">
        <f>IFERROR((Coarse_values!E9-Coarse_values!D9)/ABS(Coarse_values!D9),"")</f>
        <v>0.000830069258903772</v>
      </c>
      <c r="E9" s="7">
        <f>IFERROR((Coarse_values!F9-Coarse_values!E9)/ABS(Coarse_values!E9),"")</f>
        <v>0.000912318896923599</v>
      </c>
      <c r="F9" s="7">
        <f>IFERROR((Coarse_values!G9-Coarse_values!F9)/ABS(Coarse_values!F9),"")</f>
        <v>0.000409133517356994</v>
      </c>
      <c r="G9" s="7">
        <f>IFERROR((Coarse_values!H9-Coarse_values!G9)/ABS(Coarse_values!G9),"")</f>
        <v>0.000807578816586457</v>
      </c>
    </row>
    <row r="10" spans="1:7">
      <c r="A10" s="4" t="str">
        <f>Coarse_values!A10</f>
        <v>Discharge coefficient Cd [-]</v>
      </c>
      <c r="B10" s="7">
        <f>IFERROR((Coarse_values!C10-Coarse_values!B10)/ABS(Coarse_values!B10),"")</f>
        <v>0.00600179116620678</v>
      </c>
      <c r="C10" s="7">
        <f>IFERROR((Coarse_values!D10-Coarse_values!C10)/ABS(Coarse_values!C10),"")</f>
        <v>0.00474230143465208</v>
      </c>
      <c r="D10" s="7">
        <f>IFERROR((Coarse_values!E10-Coarse_values!D10)/ABS(Coarse_values!D10),"")</f>
        <v>0.00335029905106463</v>
      </c>
      <c r="E10" s="7">
        <f>IFERROR((Coarse_values!F10-Coarse_values!E10)/ABS(Coarse_values!E10),"")</f>
        <v>0.00233002817244515</v>
      </c>
      <c r="F10" s="7">
        <f>IFERROR((Coarse_values!G10-Coarse_values!F10)/ABS(Coarse_values!F10),"")</f>
        <v>0.0023623251565106</v>
      </c>
      <c r="G10" s="7">
        <f>IFERROR((Coarse_values!H10-Coarse_values!G10)/ABS(Coarse_values!G10),"")</f>
        <v>0.00220416942318488</v>
      </c>
    </row>
    <row r="11" spans="1:7">
      <c r="A11" s="4" t="str">
        <f>Coarse_values!A11</f>
        <v>Exit-axis Mach [-]</v>
      </c>
      <c r="B11" s="7">
        <f>IFERROR((Coarse_values!C11-Coarse_values!B11)/ABS(Coarse_values!B11),"")</f>
        <v>0.00123685837971552</v>
      </c>
      <c r="C11" s="7">
        <f>IFERROR((Coarse_values!D11-Coarse_values!C11)/ABS(Coarse_values!C11),"")</f>
        <v>0.000926497838171746</v>
      </c>
      <c r="D11" s="7">
        <f>IFERROR((Coarse_values!E11-Coarse_values!D11)/ABS(Coarse_values!D11),"")</f>
        <v>0.000925640234495561</v>
      </c>
      <c r="E11" s="7">
        <f>IFERROR((Coarse_values!F11-Coarse_values!E11)/ABS(Coarse_values!E11),"")</f>
        <v>0.000616522811343952</v>
      </c>
      <c r="F11" s="7">
        <f>IFERROR((Coarse_values!G11-Coarse_values!F11)/ABS(Coarse_values!F11),"")</f>
        <v>0.000616142945163347</v>
      </c>
      <c r="G11" s="7">
        <f>IFERROR((Coarse_values!H11-Coarse_values!G11)/ABS(Coarse_values!G11),"")</f>
        <v>0.000307881773398981</v>
      </c>
    </row>
    <row r="12" spans="1:7">
      <c r="A12" s="4" t="str">
        <f>Coarse_values!A12</f>
        <v>Exit-axis temperature [K]</v>
      </c>
      <c r="B12" s="7">
        <f>IFERROR((Coarse_values!C12-Coarse_values!B12)/ABS(Coarse_values!B12),"")</f>
        <v>-0.000875656742556918</v>
      </c>
      <c r="C12" s="7">
        <f>IFERROR((Coarse_values!D12-Coarse_values!C12)/ABS(Coarse_values!C12),"")</f>
        <v>-0.000876424189307625</v>
      </c>
      <c r="D12" s="7">
        <f>IFERROR((Coarse_values!E12-Coarse_values!D12)/ABS(Coarse_values!D12),"")</f>
        <v>-0.00087719298245614</v>
      </c>
      <c r="E12" s="7">
        <f>IFERROR((Coarse_values!F12-Coarse_values!E12)/ABS(Coarse_values!E12),"")</f>
        <v>-0.000877963125548727</v>
      </c>
      <c r="F12" s="7">
        <f>IFERROR((Coarse_values!G12-Coarse_values!F12)/ABS(Coarse_values!F12),"")</f>
        <v>-0.000878734622144112</v>
      </c>
      <c r="G12" s="7">
        <f>IFERROR((Coarse_values!H12-Coarse_values!G12)/ABS(Coarse_values!G12),"")</f>
        <v>0</v>
      </c>
    </row>
    <row r="13" spans="1:7">
      <c r="A13" s="4" t="str">
        <f>Coarse_values!A13</f>
        <v>Exit-axis pressure [Pa]</v>
      </c>
      <c r="B13" s="7">
        <f>IFERROR((Coarse_values!C13-Coarse_values!B13)/ABS(Coarse_values!B13),"")</f>
        <v>0.00621492924370124</v>
      </c>
      <c r="C13" s="7">
        <f>IFERROR((Coarse_values!D13-Coarse_values!C13)/ABS(Coarse_values!C13),"")</f>
        <v>0.00493234686396054</v>
      </c>
      <c r="D13" s="7">
        <f>IFERROR((Coarse_values!E13-Coarse_values!D13)/ABS(Coarse_values!D13),"")</f>
        <v>0.00402378899427384</v>
      </c>
      <c r="E13" s="7">
        <f>IFERROR((Coarse_values!F13-Coarse_values!E13)/ABS(Coarse_values!E13),"")</f>
        <v>0.00240019377711228</v>
      </c>
      <c r="F13" s="7">
        <f>IFERROR((Coarse_values!G13-Coarse_values!F13)/ABS(Coarse_values!F13),"")</f>
        <v>0.00305346865251966</v>
      </c>
      <c r="G13" s="7">
        <f>IFERROR((Coarse_values!H13-Coarse_values!G13)/ABS(Coarse_values!G13),"")</f>
        <v>0.00264996386412913</v>
      </c>
    </row>
    <row r="14" spans="1:7">
      <c r="A14" s="4" t="str">
        <f>Coarse_values!A14</f>
        <v>Exit-axis velocity [m/s]</v>
      </c>
      <c r="B14" s="7">
        <f>IFERROR((Coarse_values!C14-Coarse_values!B14)/ABS(Coarse_values!B14),"")</f>
        <v>0.000609013398294848</v>
      </c>
      <c r="C14" s="7">
        <f>IFERROR((Coarse_values!D14-Coarse_values!C14)/ABS(Coarse_values!C14),"")</f>
        <v>0.000421368041575023</v>
      </c>
      <c r="D14" s="7">
        <f>IFERROR((Coarse_values!E14-Coarse_values!D14)/ABS(Coarse_values!D14),"")</f>
        <v>0.000374391613627727</v>
      </c>
      <c r="E14" s="7">
        <f>IFERROR((Coarse_values!F14-Coarse_values!E14)/ABS(Coarse_values!E14),"")</f>
        <v>0.000327470059880367</v>
      </c>
      <c r="F14" s="7">
        <f>IFERROR((Coarse_values!G14-Coarse_values!F14)/ABS(Coarse_values!F14),"")</f>
        <v>0.000233830613103868</v>
      </c>
      <c r="G14" s="7">
        <f>IFERROR((Coarse_values!H14-Coarse_values!G14)/ABS(Coarse_values!G14),"")</f>
        <v>0.000187020759304113</v>
      </c>
    </row>
    <row r="15" spans="1:7">
      <c r="A15" s="4" t="str">
        <f>Coarse_values!A15</f>
        <v>Exit-axis density [kg/m3]</v>
      </c>
      <c r="B15" s="7">
        <f>IFERROR((Coarse_values!C15-Coarse_values!B15)/ABS(Coarse_values!B15),"")</f>
        <v>0.0075792004456629</v>
      </c>
      <c r="C15" s="7">
        <f>IFERROR((Coarse_values!D15-Coarse_values!C15)/ABS(Coarse_values!C15),"")</f>
        <v>0.00595082205732586</v>
      </c>
      <c r="D15" s="7">
        <f>IFERROR((Coarse_values!E15-Coarse_values!D15)/ABS(Coarse_values!D15),"")</f>
        <v>0.00481638438507933</v>
      </c>
      <c r="E15" s="7">
        <f>IFERROR((Coarse_values!F15-Coarse_values!E15)/ABS(Coarse_values!E15),"")</f>
        <v>0.00327470059880227</v>
      </c>
      <c r="F15" s="7">
        <f>IFERROR((Coarse_values!G15-Coarse_values!F15)/ABS(Coarse_values!F15),"")</f>
        <v>0.00351508977826253</v>
      </c>
      <c r="G15" s="7">
        <f>IFERROR((Coarse_values!H15-Coarse_values!G15)/ABS(Coarse_values!G15),"")</f>
        <v>0.00300238045879216</v>
      </c>
    </row>
    <row r="16" spans="1:7">
      <c r="A16" s="4" t="str">
        <f>Coarse_values!A16</f>
        <v>Exit mass-averaged Mach [-]</v>
      </c>
      <c r="B16" s="7">
        <f>IFERROR((Coarse_values!C16-Coarse_values!B16)/ABS(Coarse_values!B16),"")</f>
        <v>0.00435219283562099</v>
      </c>
      <c r="C16" s="7">
        <f>IFERROR((Coarse_values!D16-Coarse_values!C16)/ABS(Coarse_values!C16),"")</f>
        <v>0.00366666666666671</v>
      </c>
      <c r="D16" s="7">
        <f>IFERROR((Coarse_values!E16-Coarse_values!D16)/ABS(Coarse_values!D16),"")</f>
        <v>0.00199269345732308</v>
      </c>
      <c r="E16" s="7">
        <f>IFERROR((Coarse_values!F16-Coarse_values!E16)/ABS(Coarse_values!E16),"")</f>
        <v>0.00232018561484923</v>
      </c>
      <c r="F16" s="7">
        <f>IFERROR((Coarse_values!G16-Coarse_values!F16)/ABS(Coarse_values!F16),"")</f>
        <v>0.00132275132275132</v>
      </c>
      <c r="G16" s="7">
        <f>IFERROR((Coarse_values!H16-Coarse_values!G16)/ABS(Coarse_values!G16),"")</f>
        <v>0.00165125495376483</v>
      </c>
    </row>
    <row r="17" spans="1:7">
      <c r="A17" s="4" t="str">
        <f>Coarse_values!A17</f>
        <v>Throat-axis Mach [-]</v>
      </c>
      <c r="B17" s="7">
        <f>IFERROR((Coarse_values!C17-Coarse_values!B17)/ABS(Coarse_values!B17),"")</f>
        <v>-0.000927032763289482</v>
      </c>
      <c r="C17" s="7">
        <f>IFERROR((Coarse_values!D17-Coarse_values!C17)/ABS(Coarse_values!C17),"")</f>
        <v>-0.000854638243840542</v>
      </c>
      <c r="D17" s="7">
        <f>IFERROR((Coarse_values!E17-Coarse_values!D17)/ABS(Coarse_values!D17),"")</f>
        <v>-0.00074539322547534</v>
      </c>
      <c r="E17" s="7">
        <f>IFERROR((Coarse_values!F17-Coarse_values!E17)/ABS(Coarse_values!E17),"")</f>
        <v>-0.000599205136044012</v>
      </c>
      <c r="F17" s="7">
        <f>IFERROR((Coarse_values!G17-Coarse_values!F17)/ABS(Coarse_values!F17),"")</f>
        <v>-0.000526148349362555</v>
      </c>
      <c r="G17" s="7">
        <f>IFERROR((Coarse_values!H17-Coarse_values!G17)/ABS(Coarse_values!G17),"")</f>
        <v>-0.0004529706303637</v>
      </c>
    </row>
    <row r="18" spans="1:7">
      <c r="A18" s="4" t="str">
        <f>Coarse_values!A18</f>
        <v>Plume 1st cell: x of axis Mach peak [m]</v>
      </c>
      <c r="B18" s="7">
        <f>IFERROR((Coarse_values!C18-Coarse_values!B18)/ABS(Coarse_values!B18),"")</f>
        <v>0.0519071934153243</v>
      </c>
      <c r="C18" s="7">
        <f>IFERROR((Coarse_values!D18-Coarse_values!C18)/ABS(Coarse_values!C18),"")</f>
        <v>0.0398841692722544</v>
      </c>
      <c r="D18" s="7">
        <f>IFERROR((Coarse_values!E18-Coarse_values!D18)/ABS(Coarse_values!D18),"")</f>
        <v>0.0316136687749703</v>
      </c>
      <c r="E18" s="7">
        <f>IFERROR((Coarse_values!F18-Coarse_values!E18)/ABS(Coarse_values!E18),"")</f>
        <v>0.0394204489093844</v>
      </c>
      <c r="F18" s="7">
        <f>IFERROR((Coarse_values!G18-Coarse_values!F18)/ABS(Coarse_values!F18),"")</f>
        <v>0.0200205891251247</v>
      </c>
      <c r="G18" s="7">
        <f>IFERROR((Coarse_values!H18-Coarse_values!G18)/ABS(Coarse_values!G18),"")</f>
        <v>0.0304248207933466</v>
      </c>
    </row>
    <row r="19" spans="1:7">
      <c r="A19" s="4" t="str">
        <f>Coarse_values!A19</f>
        <v>Plume 1st cell: peak axis Mach [-]</v>
      </c>
      <c r="B19" s="7">
        <f>IFERROR((Coarse_values!C19-Coarse_values!B19)/ABS(Coarse_values!B19),"")</f>
        <v>0.0230868569708205</v>
      </c>
      <c r="C19" s="7">
        <f>IFERROR((Coarse_values!D19-Coarse_values!C19)/ABS(Coarse_values!C19),"")</f>
        <v>0.0215772369056193</v>
      </c>
      <c r="D19" s="7">
        <f>IFERROR((Coarse_values!E19-Coarse_values!D19)/ABS(Coarse_values!D19),"")</f>
        <v>0.0190975292982074</v>
      </c>
      <c r="E19" s="7">
        <f>IFERROR((Coarse_values!F19-Coarse_values!E19)/ABS(Coarse_values!E19),"")</f>
        <v>0.0173610766743696</v>
      </c>
      <c r="F19" s="7">
        <f>IFERROR((Coarse_values!G19-Coarse_values!F19)/ABS(Coarse_values!F19),"")</f>
        <v>0.0136187054918381</v>
      </c>
      <c r="G19" s="7">
        <f>IFERROR((Coarse_values!H19-Coarse_values!G19)/ABS(Coarse_values!G19),"")</f>
        <v>0.0130750698475136</v>
      </c>
    </row>
    <row r="20" spans="1:7">
      <c r="A20" s="4" t="str">
        <f>Coarse_values!A20</f>
        <v>Plume 1st cell: axis pressure at peak [Pa]</v>
      </c>
      <c r="B20" s="7">
        <f>IFERROR((Coarse_values!C20-Coarse_values!B20)/ABS(Coarse_values!B20),"")</f>
        <v>-0.110685210312076</v>
      </c>
      <c r="C20" s="7">
        <f>IFERROR((Coarse_values!D20-Coarse_values!C20)/ABS(Coarse_values!C20),"")</f>
        <v>-0.105955423325832</v>
      </c>
      <c r="D20" s="7">
        <f>IFERROR((Coarse_values!E20-Coarse_values!D20)/ABS(Coarse_values!D20),"")</f>
        <v>-0.0966615707327479</v>
      </c>
      <c r="E20" s="7">
        <f>IFERROR((Coarse_values!F20-Coarse_values!E20)/ABS(Coarse_values!E20),"")</f>
        <v>-0.0899788257334247</v>
      </c>
      <c r="F20" s="7">
        <f>IFERROR((Coarse_values!G20-Coarse_values!F20)/ABS(Coarse_values!F20),"")</f>
        <v>-0.0709021710924661</v>
      </c>
      <c r="G20" s="7">
        <f>IFERROR((Coarse_values!H20-Coarse_values!G20)/ABS(Coarse_values!G20),"")</f>
        <v>-0.0695195181216426</v>
      </c>
    </row>
    <row r="21" spans="1:7">
      <c r="A21" s="4" t="str">
        <f>Coarse_values!A21</f>
        <v>Plume 1st cell: axis temperature at peak [K]</v>
      </c>
      <c r="B21" s="7">
        <f>IFERROR((Coarse_values!C21-Coarse_values!B21)/ABS(Coarse_values!B21),"")</f>
        <v>-0.0329637615331574</v>
      </c>
      <c r="C21" s="7">
        <f>IFERROR((Coarse_values!D21-Coarse_values!C21)/ABS(Coarse_values!C21),"")</f>
        <v>-0.0313054579696497</v>
      </c>
      <c r="D21" s="7">
        <f>IFERROR((Coarse_values!E21-Coarse_values!D21)/ABS(Coarse_values!D21),"")</f>
        <v>-0.0283002995705067</v>
      </c>
      <c r="E21" s="7">
        <f>IFERROR((Coarse_values!F21-Coarse_values!E21)/ABS(Coarse_values!E21),"")</f>
        <v>-0.0261534021907728</v>
      </c>
      <c r="F21" s="7">
        <f>IFERROR((Coarse_values!G21-Coarse_values!F21)/ABS(Coarse_values!F21),"")</f>
        <v>-0.0207489884790948</v>
      </c>
      <c r="G21" s="7">
        <f>IFERROR((Coarse_values!H21-Coarse_values!G21)/ABS(Coarse_values!G21),"")</f>
        <v>-0.020119427976306</v>
      </c>
    </row>
    <row r="22" spans="1:7">
      <c r="A22" s="4" t="str">
        <f>Coarse_values!A22</f>
        <v>Plume 1st cell: axis density at peak [kg/m3]</v>
      </c>
      <c r="B22" s="7">
        <f>IFERROR((Coarse_values!C22-Coarse_values!B22)/ABS(Coarse_values!B22),"")</f>
        <v>-0.080368144553231</v>
      </c>
      <c r="C22" s="7">
        <f>IFERROR((Coarse_values!D22-Coarse_values!C22)/ABS(Coarse_values!C22),"")</f>
        <v>-0.077061243969765</v>
      </c>
      <c r="D22" s="7">
        <f>IFERROR((Coarse_values!E22-Coarse_values!D22)/ABS(Coarse_values!D22),"")</f>
        <v>-0.0703581673404215</v>
      </c>
      <c r="E22" s="7">
        <f>IFERROR((Coarse_values!F22-Coarse_values!E22)/ABS(Coarse_values!E22),"")</f>
        <v>-0.0655335062201676</v>
      </c>
      <c r="F22" s="7">
        <f>IFERROR((Coarse_values!G22-Coarse_values!F22)/ABS(Coarse_values!F22),"")</f>
        <v>-0.0512139353707364</v>
      </c>
      <c r="G22" s="7">
        <f>IFERROR((Coarse_values!H22-Coarse_values!G22)/ABS(Coarse_values!G22),"")</f>
        <v>-0.0504175498092412</v>
      </c>
    </row>
    <row r="23" spans="1:7">
      <c r="A23" s="4" t="str">
        <f>Coarse_values!A23</f>
        <v>Plume 1st cell: axis velocity at peak [m/s]</v>
      </c>
      <c r="B23" s="7">
        <f>IFERROR((Coarse_values!C23-Coarse_values!B23)/ABS(Coarse_values!B23),"")</f>
        <v>0.00704491578568163</v>
      </c>
      <c r="C23" s="7">
        <f>IFERROR((Coarse_values!D23-Coarse_values!C23)/ABS(Coarse_values!C23),"")</f>
        <v>0.00638174775976355</v>
      </c>
      <c r="D23" s="7">
        <f>IFERROR((Coarse_values!E23-Coarse_values!D23)/ABS(Coarse_values!D23),"")</f>
        <v>0.00541093245330729</v>
      </c>
      <c r="E23" s="7">
        <f>IFERROR((Coarse_values!F23-Coarse_values!E23)/ABS(Coarse_values!E23),"")</f>
        <v>0.0047401846315007</v>
      </c>
      <c r="F23" s="7">
        <f>IFERROR((Coarse_values!G23-Coarse_values!F23)/ABS(Coarse_values!F23),"")</f>
        <v>0.00365783197431701</v>
      </c>
      <c r="G23" s="7">
        <f>IFERROR((Coarse_values!H23-Coarse_values!G23)/ABS(Coarse_values!G23),"")</f>
        <v>0.0034237533166257</v>
      </c>
    </row>
    <row r="24" spans="1:7">
      <c r="A24" s="4" t="str">
        <f>Coarse_values!A24</f>
        <v>Plume 1st cell: end (closing shock) x [m]</v>
      </c>
      <c r="B24" s="7">
        <f>IFERROR((Coarse_values!C24-Coarse_values!B24)/ABS(Coarse_values!B24),"")</f>
        <v>0.0246826969734173</v>
      </c>
      <c r="C24" s="7">
        <f>IFERROR((Coarse_values!D24-Coarse_values!C24)/ABS(Coarse_values!C24),"")</f>
        <v>0.0190978264383751</v>
      </c>
      <c r="D24" s="7">
        <f>IFERROR((Coarse_values!E24-Coarse_values!D24)/ABS(Coarse_values!D24),"")</f>
        <v>0.0152184988271212</v>
      </c>
      <c r="E24" s="7">
        <f>IFERROR((Coarse_values!F24-Coarse_values!E24)/ABS(Coarse_values!E24),"")</f>
        <v>0.0252988882679922</v>
      </c>
      <c r="F24" s="7">
        <f>IFERROR((Coarse_values!G24-Coarse_values!F24)/ABS(Coarse_values!F24),"")</f>
        <v>0.00921691207449541</v>
      </c>
      <c r="G24" s="7">
        <f>IFERROR((Coarse_values!H24-Coarse_values!G24)/ABS(Coarse_values!G24),"")</f>
        <v>0.00778973921694023</v>
      </c>
    </row>
    <row r="25" spans="1:7">
      <c r="A25" s="4" t="str">
        <f>Coarse_values!A25</f>
        <v>Plume 1st cell: length from lip [m]</v>
      </c>
      <c r="B25" s="7">
        <f>IFERROR((Coarse_values!C25-Coarse_values!B25)/ABS(Coarse_values!B25),"")</f>
        <v>0.0594221052483426</v>
      </c>
      <c r="C25" s="7">
        <f>IFERROR((Coarse_values!D25-Coarse_values!C25)/ABS(Coarse_values!C25),"")</f>
        <v>0.0444692430663497</v>
      </c>
      <c r="D25" s="7">
        <f>IFERROR((Coarse_values!E25-Coarse_values!D25)/ABS(Coarse_values!D25),"")</f>
        <v>0.0345754490992576</v>
      </c>
      <c r="E25" s="7">
        <f>IFERROR((Coarse_values!F25-Coarse_values!E25)/ABS(Coarse_values!E25),"")</f>
        <v>0.0564020392105434</v>
      </c>
      <c r="F25" s="7">
        <f>IFERROR((Coarse_values!G25-Coarse_values!F25)/ABS(Coarse_values!F25),"")</f>
        <v>0.0199434399233453</v>
      </c>
      <c r="G25" s="7">
        <f>IFERROR((Coarse_values!H25-Coarse_values!G25)/ABS(Coarse_values!G25),"")</f>
        <v>0.0166780769815913</v>
      </c>
    </row>
    <row r="26" spans="1:7">
      <c r="A26" s="4" t="str">
        <f>Coarse_values!A26</f>
        <v>Plume 1st cell: axis Mach behind closing shock [-]</v>
      </c>
      <c r="B26" s="7">
        <f>IFERROR((Coarse_values!C26-Coarse_values!B26)/ABS(Coarse_values!B26),"")</f>
        <v>-0.0180715799387803</v>
      </c>
      <c r="C26" s="7">
        <f>IFERROR((Coarse_values!D26-Coarse_values!C26)/ABS(Coarse_values!C26),"")</f>
        <v>-0.0134561200444542</v>
      </c>
      <c r="D26" s="7">
        <f>IFERROR((Coarse_values!E26-Coarse_values!D26)/ABS(Coarse_values!D26),"")</f>
        <v>-0.014840956365251</v>
      </c>
      <c r="E26" s="7">
        <f>IFERROR((Coarse_values!F26-Coarse_values!E26)/ABS(Coarse_values!E26),"")</f>
        <v>-0.0115012336306701</v>
      </c>
      <c r="F26" s="7">
        <f>IFERROR((Coarse_values!G26-Coarse_values!F26)/ABS(Coarse_values!F26),"")</f>
        <v>-0.00962387681437673</v>
      </c>
      <c r="G26" s="7">
        <f>IFERROR((Coarse_values!H26-Coarse_values!G26)/ABS(Coarse_values!G26),"")</f>
        <v>-0.0120340617745274</v>
      </c>
    </row>
    <row r="27" spans="1:7">
      <c r="A27" s="4" t="str">
        <f>Coarse_values!A27</f>
        <v>Plume 1st cell: axis pressure behind closing shock [Pa]</v>
      </c>
      <c r="B27" s="7">
        <f>IFERROR((Coarse_values!C27-Coarse_values!B27)/ABS(Coarse_values!B27),"")</f>
        <v>0.098650124928342</v>
      </c>
      <c r="C27" s="7">
        <f>IFERROR((Coarse_values!D27-Coarse_values!C27)/ABS(Coarse_values!C27),"")</f>
        <v>0.061836994885477</v>
      </c>
      <c r="D27" s="7">
        <f>IFERROR((Coarse_values!E27-Coarse_values!D27)/ABS(Coarse_values!D27),"")</f>
        <v>0.0539523153878605</v>
      </c>
      <c r="E27" s="7">
        <f>IFERROR((Coarse_values!F27-Coarse_values!E27)/ABS(Coarse_values!E27),"")</f>
        <v>0.0322106735518832</v>
      </c>
      <c r="F27" s="7">
        <f>IFERROR((Coarse_values!G27-Coarse_values!F27)/ABS(Coarse_values!F27),"")</f>
        <v>0.0310435931307794</v>
      </c>
      <c r="G27" s="7">
        <f>IFERROR((Coarse_values!H27-Coarse_values!G27)/ABS(Coarse_values!G27),"")</f>
        <v>0.0299559835506602</v>
      </c>
    </row>
    <row r="28" spans="1:7">
      <c r="A28" s="4" t="str">
        <f>Coarse_values!A28</f>
        <v>Plume 1st cell: axis temperature behind closing shock [K]</v>
      </c>
      <c r="B28" s="7">
        <f>IFERROR((Coarse_values!C28-Coarse_values!B28)/ABS(Coarse_values!B28),"")</f>
        <v>0.0207693381736944</v>
      </c>
      <c r="C28" s="7">
        <f>IFERROR((Coarse_values!D28-Coarse_values!C28)/ABS(Coarse_values!C28),"")</f>
        <v>0.0147670667624161</v>
      </c>
      <c r="D28" s="7">
        <f>IFERROR((Coarse_values!E28-Coarse_values!D28)/ABS(Coarse_values!D28),"")</f>
        <v>0.0147150503513078</v>
      </c>
      <c r="E28" s="7">
        <f>IFERROR((Coarse_values!F28-Coarse_values!E28)/ABS(Coarse_values!E28),"")</f>
        <v>0.0107544736507092</v>
      </c>
      <c r="F28" s="7">
        <f>IFERROR((Coarse_values!G28-Coarse_values!F28)/ABS(Coarse_values!F28),"")</f>
        <v>0.010908374038946</v>
      </c>
      <c r="G28" s="7">
        <f>IFERROR((Coarse_values!H28-Coarse_values!G28)/ABS(Coarse_values!G28),"")</f>
        <v>0.0115923815301944</v>
      </c>
    </row>
    <row r="29" spans="1:7">
      <c r="A29" s="4" t="str">
        <f>Coarse_values!A29</f>
        <v>Plume 1st cell: axis density behind closing shock [kg/m3]</v>
      </c>
      <c r="B29" s="7">
        <f>IFERROR((Coarse_values!C29-Coarse_values!B29)/ABS(Coarse_values!B29),"")</f>
        <v>0.0762939361917875</v>
      </c>
      <c r="C29" s="7">
        <f>IFERROR((Coarse_values!D29-Coarse_values!C29)/ABS(Coarse_values!C29),"")</f>
        <v>0.046392736630973</v>
      </c>
      <c r="D29" s="7">
        <f>IFERROR((Coarse_values!E29-Coarse_values!D29)/ABS(Coarse_values!D29),"")</f>
        <v>0.0386659432153933</v>
      </c>
      <c r="E29" s="7">
        <f>IFERROR((Coarse_values!F29-Coarse_values!E29)/ABS(Coarse_values!E29),"")</f>
        <v>0.0212263612929717</v>
      </c>
      <c r="F29" s="7">
        <f>IFERROR((Coarse_values!G29-Coarse_values!F29)/ABS(Coarse_values!F29),"")</f>
        <v>0.0199184676383537</v>
      </c>
      <c r="G29" s="7">
        <f>IFERROR((Coarse_values!H29-Coarse_values!G29)/ABS(Coarse_values!G29),"")</f>
        <v>0.0174773101587413</v>
      </c>
    </row>
    <row r="30" spans="1:7">
      <c r="A30" s="4" t="str">
        <f>Coarse_values!A30</f>
        <v>Plume 1st cell: pressure ratio across closing shock [-]</v>
      </c>
      <c r="B30" s="7">
        <f>IFERROR((Coarse_values!C30-Coarse_values!B30)/ABS(Coarse_values!B30),"")</f>
        <v>0.23538946801265</v>
      </c>
      <c r="C30" s="7">
        <f>IFERROR((Coarse_values!D30-Coarse_values!C30)/ABS(Coarse_values!C30),"")</f>
        <v>0.187677910687063</v>
      </c>
      <c r="D30" s="7">
        <f>IFERROR((Coarse_values!E30-Coarse_values!D30)/ABS(Coarse_values!D30),"")</f>
        <v>0.166730298679726</v>
      </c>
      <c r="E30" s="7">
        <f>IFERROR((Coarse_values!F30-Coarse_values!E30)/ABS(Coarse_values!E30),"")</f>
        <v>0.134271050762956</v>
      </c>
      <c r="F30" s="7">
        <f>IFERROR((Coarse_values!G30-Coarse_values!F30)/ABS(Coarse_values!F30),"")</f>
        <v>0.1097255434803</v>
      </c>
      <c r="G30" s="7">
        <f>IFERROR((Coarse_values!H30-Coarse_values!G30)/ABS(Coarse_values!G30),"")</f>
        <v>0.10690767147688</v>
      </c>
    </row>
    <row r="31" spans="1:7">
      <c r="A31" s="4" t="str">
        <f>Coarse_values!A31</f>
        <v>Final relative residual [-]</v>
      </c>
      <c r="B31" s="7">
        <f>IFERROR((Coarse_values!C31-Coarse_values!B31)/ABS(Coarse_values!B31),"")</f>
        <v>0.235109717868338</v>
      </c>
      <c r="C31" s="7">
        <f>IFERROR((Coarse_values!D31-Coarse_values!C31)/ABS(Coarse_values!C31),"")</f>
        <v>0.294416243654822</v>
      </c>
      <c r="D31" s="7">
        <f>IFERROR((Coarse_values!E31-Coarse_values!D31)/ABS(Coarse_values!D31),"")</f>
        <v>1.3156862745098</v>
      </c>
      <c r="E31" s="7">
        <f>IFERROR((Coarse_values!F31-Coarse_values!E31)/ABS(Coarse_values!E31),"")</f>
        <v>-0.0372565622353937</v>
      </c>
      <c r="F31" s="7">
        <f>IFERROR((Coarse_values!G31-Coarse_values!F31)/ABS(Coarse_values!F31),"")</f>
        <v>0.340369393139842</v>
      </c>
      <c r="G31" s="7">
        <f>IFERROR((Coarse_values!H31-Coarse_values!G31)/ABS(Coarse_values!G31),"")</f>
        <v>0.230314960629921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A12" sqref="A12"/>
    </sheetView>
  </sheetViews>
  <sheetFormatPr defaultColWidth="8.67619047619048" defaultRowHeight="15" outlineLevelCol="6"/>
  <cols>
    <col min="1" max="1" width="30" style="1" customWidth="1"/>
    <col min="2" max="8" width="15" style="1" customWidth="1"/>
    <col min="9" max="16384" width="8.67619047619048" style="1"/>
  </cols>
  <sheetData>
    <row r="1" ht="15.75" spans="1:7">
      <c r="A1" s="2" t="s">
        <v>53</v>
      </c>
    </row>
    <row r="3" spans="1:7">
      <c r="A3" s="3" t="s">
        <v>54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52</v>
      </c>
    </row>
    <row r="4" spans="1:7">
      <c r="A4" s="4" t="s">
        <v>55</v>
      </c>
      <c r="B4" s="5">
        <v>0.0942</v>
      </c>
      <c r="C4" s="5">
        <v>0.074</v>
      </c>
      <c r="D4" s="5">
        <v>0.0596</v>
      </c>
      <c r="E4" s="5">
        <v>0.048</v>
      </c>
      <c r="F4" s="5">
        <v>0.0416</v>
      </c>
      <c r="G4" s="5">
        <v>0.0356</v>
      </c>
    </row>
    <row r="5" spans="1:7">
      <c r="A5" s="4" t="s">
        <v>56</v>
      </c>
      <c r="B5" s="5">
        <v>0.1783</v>
      </c>
      <c r="C5" s="5">
        <v>0.1395</v>
      </c>
      <c r="D5" s="5">
        <v>0.112</v>
      </c>
      <c r="E5" s="5">
        <v>0.0775</v>
      </c>
      <c r="F5" s="5">
        <v>0.0793</v>
      </c>
      <c r="G5" s="5">
        <v>0.0671</v>
      </c>
    </row>
    <row r="6" spans="1:7">
      <c r="A6" s="4" t="s">
        <v>57</v>
      </c>
      <c r="B6" s="5">
        <v>0.1195</v>
      </c>
      <c r="C6" s="5">
        <v>0.094</v>
      </c>
      <c r="D6" s="5">
        <v>0.0756</v>
      </c>
      <c r="E6" s="5">
        <v>0.058</v>
      </c>
      <c r="F6" s="5">
        <v>0.053</v>
      </c>
      <c r="G6" s="5">
        <v>0.0452</v>
      </c>
    </row>
    <row r="7" spans="1:7">
      <c r="A7" s="4" t="s">
        <v>58</v>
      </c>
      <c r="B7" s="5">
        <v>0.2108</v>
      </c>
      <c r="C7" s="5">
        <v>0.1647</v>
      </c>
      <c r="D7" s="5">
        <v>0.1321</v>
      </c>
      <c r="E7" s="5">
        <v>0.0912</v>
      </c>
      <c r="F7" s="5">
        <v>0.0933</v>
      </c>
      <c r="G7" s="5">
        <v>0.0788</v>
      </c>
    </row>
    <row r="8" spans="1:7">
      <c r="A8" s="4" t="s">
        <v>59</v>
      </c>
      <c r="B8" s="5">
        <v>0.079</v>
      </c>
      <c r="C8" s="5">
        <v>0.0621</v>
      </c>
      <c r="D8" s="5">
        <v>0.0501</v>
      </c>
      <c r="E8" s="5">
        <v>0.0391</v>
      </c>
      <c r="F8" s="5">
        <v>0.0351</v>
      </c>
      <c r="G8" s="5">
        <v>0.03</v>
      </c>
    </row>
    <row r="9" spans="1:7">
      <c r="A9" s="4" t="s">
        <v>60</v>
      </c>
      <c r="B9" s="5">
        <v>1.5356</v>
      </c>
      <c r="C9" s="5">
        <v>1.2538</v>
      </c>
      <c r="D9" s="5">
        <v>1.0619</v>
      </c>
      <c r="E9" s="5">
        <v>0.8813</v>
      </c>
      <c r="F9" s="5">
        <v>0.6907</v>
      </c>
      <c r="G9" s="5">
        <v>0.6703</v>
      </c>
    </row>
    <row r="10" spans="1:7">
      <c r="A10" s="4" t="s">
        <v>61</v>
      </c>
      <c r="B10" s="5">
        <v>0.6729</v>
      </c>
      <c r="C10" s="5">
        <v>0.5085</v>
      </c>
      <c r="D10" s="5">
        <v>0.404</v>
      </c>
      <c r="E10" s="5">
        <v>0.3257</v>
      </c>
      <c r="F10" s="5">
        <v>0.2406</v>
      </c>
      <c r="G10" s="5">
        <v>0.2571</v>
      </c>
    </row>
    <row r="11" spans="1:7">
      <c r="A11" s="4" t="s">
        <v>62</v>
      </c>
      <c r="B11" s="5">
        <v>1.289</v>
      </c>
      <c r="C11" s="5">
        <v>1.0944</v>
      </c>
      <c r="D11" s="5">
        <v>0.9587</v>
      </c>
      <c r="E11" s="5">
        <v>0.8357</v>
      </c>
      <c r="F11" s="5">
        <v>0.6539</v>
      </c>
      <c r="G11" s="5">
        <v>0.6352</v>
      </c>
    </row>
    <row r="12" spans="1:7">
      <c r="A12" s="4" t="s">
        <v>63</v>
      </c>
      <c r="B12" s="5">
        <v>0.848</v>
      </c>
      <c r="C12" s="5">
        <v>0.7241</v>
      </c>
      <c r="D12" s="5">
        <v>0.6407</v>
      </c>
      <c r="E12" s="5">
        <v>0.591</v>
      </c>
      <c r="F12" s="5">
        <v>0.601</v>
      </c>
      <c r="G12" s="5">
        <v>0.5135</v>
      </c>
    </row>
    <row r="13" spans="1:7">
      <c r="A13" s="4" t="s">
        <v>64</v>
      </c>
      <c r="B13" s="5">
        <v>1.2816</v>
      </c>
      <c r="C13" s="5">
        <v>1.043</v>
      </c>
      <c r="D13" s="5">
        <v>0.8836</v>
      </c>
      <c r="E13" s="5">
        <v>0.7336</v>
      </c>
      <c r="F13" s="5">
        <v>0.5649</v>
      </c>
      <c r="G13" s="5">
        <v>0.5525</v>
      </c>
    </row>
    <row r="14" spans="1:7">
      <c r="A14" s="4" t="s">
        <v>65</v>
      </c>
      <c r="B14" s="5">
        <v>1.0641</v>
      </c>
      <c r="C14" s="5">
        <v>0.9051</v>
      </c>
      <c r="D14" s="5">
        <v>0.8881</v>
      </c>
      <c r="E14" s="5">
        <v>2.1906</v>
      </c>
      <c r="F14" s="5">
        <v>2.6301</v>
      </c>
      <c r="G14" s="5">
        <v>1.4547</v>
      </c>
    </row>
    <row r="15" spans="1:7">
      <c r="A15" s="4" t="s">
        <v>66</v>
      </c>
      <c r="B15" s="5">
        <v>0.5998</v>
      </c>
      <c r="C15" s="5">
        <v>0.5067</v>
      </c>
      <c r="D15" s="5">
        <v>0.5221</v>
      </c>
      <c r="E15" s="5">
        <v>2.0526</v>
      </c>
      <c r="F15" s="5">
        <v>2.1086</v>
      </c>
      <c r="G15" s="5">
        <v>0.9213</v>
      </c>
    </row>
    <row r="16" spans="1:7">
      <c r="A16" s="4" t="s">
        <v>67</v>
      </c>
      <c r="B16" s="5">
        <v>1.0061</v>
      </c>
      <c r="C16" s="5">
        <v>0.8806</v>
      </c>
      <c r="D16" s="5">
        <v>0.9442</v>
      </c>
      <c r="E16" s="5">
        <v>3.7408</v>
      </c>
      <c r="F16" s="5">
        <v>4.5841</v>
      </c>
      <c r="G16" s="5">
        <v>2.0092</v>
      </c>
    </row>
    <row r="17" spans="1:7">
      <c r="A17" s="4" t="s">
        <v>68</v>
      </c>
      <c r="B17" s="5">
        <v>1.0644</v>
      </c>
      <c r="C17" s="5">
        <v>0.9588</v>
      </c>
      <c r="D17" s="5">
        <v>1.1978</v>
      </c>
      <c r="E17" s="5">
        <v>6.4916</v>
      </c>
      <c r="F17" s="5">
        <v>5.6245</v>
      </c>
      <c r="G17" s="5">
        <v>2.1358</v>
      </c>
    </row>
    <row r="18" spans="1:7">
      <c r="A18" s="4" t="s">
        <v>69</v>
      </c>
      <c r="B18" s="5">
        <v>1.0117</v>
      </c>
      <c r="C18" s="5">
        <v>0.8587</v>
      </c>
      <c r="D18" s="5">
        <v>0.8591</v>
      </c>
      <c r="E18" s="5">
        <v>2.4221</v>
      </c>
      <c r="F18" s="5">
        <v>3.0929</v>
      </c>
      <c r="G18" s="5">
        <v>1.5994</v>
      </c>
    </row>
    <row r="20" spans="1:7">
      <c r="A20" s="6" t="s">
        <v>70</v>
      </c>
    </row>
    <row r="21" spans="1:7">
      <c r="A21" s="6" t="s">
        <v>71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workbookViewId="0">
      <selection activeCell="A12" sqref="A12"/>
    </sheetView>
  </sheetViews>
  <sheetFormatPr defaultColWidth="8.67619047619048" defaultRowHeight="15"/>
  <cols>
    <col min="1" max="1" width="40" style="1" customWidth="1"/>
    <col min="2" max="9" width="15" style="1" customWidth="1"/>
    <col min="10" max="16384" width="8.67619047619048" style="1"/>
  </cols>
  <sheetData>
    <row r="1" ht="15.75" spans="1:9">
      <c r="A1" s="2" t="s">
        <v>72</v>
      </c>
    </row>
    <row r="3" ht="25.5" spans="1:9">
      <c r="A3" s="3" t="s">
        <v>9</v>
      </c>
      <c r="B3" s="3" t="s">
        <v>73</v>
      </c>
      <c r="C3" s="3" t="s">
        <v>74</v>
      </c>
      <c r="D3" s="3" t="s">
        <v>75</v>
      </c>
      <c r="E3" s="3" t="s">
        <v>76</v>
      </c>
      <c r="F3" s="3" t="s">
        <v>77</v>
      </c>
      <c r="G3" s="3" t="s">
        <v>78</v>
      </c>
      <c r="H3" s="3" t="s">
        <v>79</v>
      </c>
      <c r="I3" s="3" t="s">
        <v>80</v>
      </c>
    </row>
    <row r="4" spans="1:9">
      <c r="A4" s="4" t="s">
        <v>17</v>
      </c>
      <c r="B4" s="8">
        <v>14355</v>
      </c>
      <c r="C4" s="8">
        <v>17700</v>
      </c>
      <c r="D4" s="8">
        <v>21395</v>
      </c>
      <c r="E4" s="8">
        <v>25500</v>
      </c>
      <c r="F4" s="8">
        <v>29900</v>
      </c>
      <c r="G4" s="8">
        <v>34720</v>
      </c>
      <c r="H4" s="8">
        <v>39825</v>
      </c>
      <c r="I4" s="8">
        <v>45280</v>
      </c>
    </row>
    <row r="5" spans="1:9">
      <c r="A5" s="4" t="s">
        <v>18</v>
      </c>
      <c r="B5" s="9">
        <v>2337.47</v>
      </c>
      <c r="C5" s="9">
        <v>2342.28</v>
      </c>
      <c r="D5" s="9">
        <v>2346.35</v>
      </c>
      <c r="E5" s="9">
        <v>2349.82</v>
      </c>
      <c r="F5" s="9">
        <v>2352.8</v>
      </c>
      <c r="G5" s="9">
        <v>2355.41</v>
      </c>
      <c r="H5" s="9">
        <v>2357.69</v>
      </c>
      <c r="I5" s="9">
        <v>2359.71</v>
      </c>
    </row>
    <row r="6" spans="1:9">
      <c r="A6" s="4" t="s">
        <v>19</v>
      </c>
      <c r="B6" s="9">
        <v>2330.45</v>
      </c>
      <c r="C6" s="9">
        <v>2336.81</v>
      </c>
      <c r="D6" s="9">
        <v>2341.57</v>
      </c>
      <c r="E6" s="9">
        <v>2346.14</v>
      </c>
      <c r="F6" s="9">
        <v>2349.35</v>
      </c>
      <c r="G6" s="9">
        <v>2345.79</v>
      </c>
      <c r="H6" s="9">
        <v>2357.46</v>
      </c>
      <c r="I6" s="9">
        <v>2353.34</v>
      </c>
    </row>
    <row r="7" spans="1:9">
      <c r="A7" s="4" t="s">
        <v>20</v>
      </c>
      <c r="B7" s="9">
        <v>4466280</v>
      </c>
      <c r="C7" s="9">
        <v>4475390</v>
      </c>
      <c r="D7" s="9">
        <v>4483060</v>
      </c>
      <c r="E7" s="9">
        <v>4489630</v>
      </c>
      <c r="F7" s="9">
        <v>4495270</v>
      </c>
      <c r="G7" s="9">
        <v>4500190</v>
      </c>
      <c r="H7" s="9">
        <v>4504560</v>
      </c>
      <c r="I7" s="9">
        <v>4508360</v>
      </c>
    </row>
    <row r="8" spans="1:9">
      <c r="A8" s="4" t="s">
        <v>21</v>
      </c>
      <c r="B8" s="9">
        <v>4413490</v>
      </c>
      <c r="C8" s="9">
        <v>4429760</v>
      </c>
      <c r="D8" s="9">
        <v>4441560</v>
      </c>
      <c r="E8" s="9">
        <v>4453720</v>
      </c>
      <c r="F8" s="9">
        <v>4460990</v>
      </c>
      <c r="G8" s="9">
        <v>4459960</v>
      </c>
      <c r="H8" s="9">
        <v>4472900</v>
      </c>
      <c r="I8" s="9">
        <v>4477630</v>
      </c>
    </row>
    <row r="9" spans="1:9">
      <c r="A9" s="4" t="s">
        <v>22</v>
      </c>
      <c r="B9" s="9">
        <v>193.117</v>
      </c>
      <c r="C9" s="9">
        <v>193.302</v>
      </c>
      <c r="D9" s="9">
        <v>193.423</v>
      </c>
      <c r="E9" s="9">
        <v>193.575</v>
      </c>
      <c r="F9" s="9">
        <v>193.626</v>
      </c>
      <c r="G9" s="9">
        <v>193.874</v>
      </c>
      <c r="H9" s="9">
        <v>193.474</v>
      </c>
      <c r="I9" s="9">
        <v>194.018</v>
      </c>
    </row>
    <row r="10" spans="1:9">
      <c r="A10" s="4" t="s">
        <v>23</v>
      </c>
      <c r="B10" s="9">
        <v>0.956511</v>
      </c>
      <c r="C10" s="9">
        <v>0.959121</v>
      </c>
      <c r="D10" s="9">
        <v>0.961075</v>
      </c>
      <c r="E10" s="9">
        <v>0.962951</v>
      </c>
      <c r="F10" s="9">
        <v>0.964268</v>
      </c>
      <c r="G10" s="9">
        <v>0.962806</v>
      </c>
      <c r="H10" s="9">
        <v>0.967598</v>
      </c>
      <c r="I10" s="9">
        <v>0.965906</v>
      </c>
    </row>
    <row r="11" spans="1:9">
      <c r="A11" s="4" t="s">
        <v>24</v>
      </c>
      <c r="B11" s="9">
        <v>3.25</v>
      </c>
      <c r="C11" s="9">
        <v>3.251</v>
      </c>
      <c r="D11" s="9">
        <v>3.253</v>
      </c>
      <c r="E11" s="9">
        <v>3.253</v>
      </c>
      <c r="F11" s="9">
        <v>3.254</v>
      </c>
      <c r="G11" s="9">
        <v>3.255</v>
      </c>
      <c r="H11" s="9">
        <v>3.255</v>
      </c>
      <c r="I11" s="9">
        <v>3.256</v>
      </c>
    </row>
    <row r="12" spans="1:9">
      <c r="A12" s="4" t="s">
        <v>25</v>
      </c>
      <c r="B12" s="9">
        <v>1136</v>
      </c>
      <c r="C12" s="9">
        <v>1136</v>
      </c>
      <c r="D12" s="9">
        <v>1135</v>
      </c>
      <c r="E12" s="9">
        <v>1135</v>
      </c>
      <c r="F12" s="9">
        <v>1135</v>
      </c>
      <c r="G12" s="9">
        <v>1134</v>
      </c>
      <c r="H12" s="9">
        <v>1134</v>
      </c>
      <c r="I12" s="9">
        <v>1134</v>
      </c>
    </row>
    <row r="13" spans="1:9">
      <c r="A13" s="4" t="s">
        <v>26</v>
      </c>
      <c r="B13" s="9">
        <v>45486</v>
      </c>
      <c r="C13" s="9">
        <v>45645</v>
      </c>
      <c r="D13" s="9">
        <v>45781</v>
      </c>
      <c r="E13" s="9">
        <v>45900</v>
      </c>
      <c r="F13" s="9">
        <v>46004</v>
      </c>
      <c r="G13" s="9">
        <v>46096</v>
      </c>
      <c r="H13" s="9">
        <v>46179</v>
      </c>
      <c r="I13" s="9">
        <v>46254</v>
      </c>
    </row>
    <row r="14" spans="1:9">
      <c r="A14" s="4" t="s">
        <v>27</v>
      </c>
      <c r="B14" s="9">
        <v>2139.4</v>
      </c>
      <c r="C14" s="9">
        <v>2139.9</v>
      </c>
      <c r="D14" s="9">
        <v>2140.3</v>
      </c>
      <c r="E14" s="9">
        <v>2140.6</v>
      </c>
      <c r="F14" s="9">
        <v>2140.9</v>
      </c>
      <c r="G14" s="9">
        <v>2141.1</v>
      </c>
      <c r="H14" s="9">
        <v>2141.3</v>
      </c>
      <c r="I14" s="9">
        <v>2141.4</v>
      </c>
    </row>
    <row r="15" spans="1:9">
      <c r="A15" s="4" t="s">
        <v>28</v>
      </c>
      <c r="B15" s="9">
        <v>0.139477</v>
      </c>
      <c r="C15" s="9">
        <v>0.14003</v>
      </c>
      <c r="D15" s="9">
        <v>0.140498</v>
      </c>
      <c r="E15" s="9">
        <v>0.140899</v>
      </c>
      <c r="F15" s="9">
        <v>0.141247</v>
      </c>
      <c r="G15" s="9">
        <v>0.141554</v>
      </c>
      <c r="H15" s="9">
        <v>0.141825</v>
      </c>
      <c r="I15" s="9">
        <v>0.142068</v>
      </c>
    </row>
    <row r="16" spans="1:9">
      <c r="A16" s="4" t="s">
        <v>29</v>
      </c>
      <c r="B16" s="9">
        <v>3.026</v>
      </c>
      <c r="C16" s="9">
        <v>3.032</v>
      </c>
      <c r="D16" s="9">
        <v>3.037</v>
      </c>
      <c r="E16" s="9">
        <v>3.042</v>
      </c>
      <c r="F16" s="9">
        <v>3.045</v>
      </c>
      <c r="G16" s="9">
        <v>3.055</v>
      </c>
      <c r="H16" s="9">
        <v>3.043</v>
      </c>
      <c r="I16" s="9">
        <v>3.058</v>
      </c>
    </row>
    <row r="17" spans="1:9">
      <c r="A17" s="4" t="s">
        <v>30</v>
      </c>
      <c r="B17" s="9">
        <v>0.81681</v>
      </c>
      <c r="C17" s="9">
        <v>0.81633</v>
      </c>
      <c r="D17" s="9">
        <v>0.81593</v>
      </c>
      <c r="E17" s="9">
        <v>0.8156</v>
      </c>
      <c r="F17" s="9">
        <v>0.81532</v>
      </c>
      <c r="G17" s="9">
        <v>0.81508</v>
      </c>
      <c r="H17" s="9">
        <v>0.81487</v>
      </c>
      <c r="I17" s="9">
        <v>0.81466</v>
      </c>
    </row>
    <row r="18" spans="1:9">
      <c r="A18" s="4" t="s">
        <v>31</v>
      </c>
      <c r="B18" s="9">
        <v>4.98303</v>
      </c>
      <c r="C18" s="9">
        <v>5.13057</v>
      </c>
      <c r="D18" s="9">
        <v>5.25408</v>
      </c>
      <c r="E18" s="9">
        <v>5.40862</v>
      </c>
      <c r="F18" s="9">
        <v>5.49531</v>
      </c>
      <c r="G18" s="9">
        <v>5.61367</v>
      </c>
      <c r="H18" s="9">
        <v>5.67706</v>
      </c>
      <c r="I18" s="9">
        <v>5.7768</v>
      </c>
    </row>
    <row r="19" spans="1:9">
      <c r="A19" s="4" t="s">
        <v>32</v>
      </c>
      <c r="B19" s="9">
        <v>4.1361</v>
      </c>
      <c r="C19" s="9">
        <v>4.20981</v>
      </c>
      <c r="D19" s="9">
        <v>4.27498</v>
      </c>
      <c r="E19" s="9">
        <v>4.33274</v>
      </c>
      <c r="F19" s="9">
        <v>4.38098</v>
      </c>
      <c r="G19" s="9">
        <v>4.42976</v>
      </c>
      <c r="H19" s="9">
        <v>4.47101</v>
      </c>
      <c r="I19" s="9">
        <v>4.50847</v>
      </c>
    </row>
    <row r="20" spans="1:9">
      <c r="A20" s="4" t="s">
        <v>33</v>
      </c>
      <c r="B20" s="9">
        <v>11097.9</v>
      </c>
      <c r="C20" s="9">
        <v>10063.5</v>
      </c>
      <c r="D20" s="9">
        <v>9235.5</v>
      </c>
      <c r="E20" s="9">
        <v>8562.49</v>
      </c>
      <c r="F20" s="9">
        <v>8045.75</v>
      </c>
      <c r="G20" s="9">
        <v>7552.23</v>
      </c>
      <c r="H20" s="9">
        <v>7163.66</v>
      </c>
      <c r="I20" s="9">
        <v>6828.94</v>
      </c>
    </row>
    <row r="21" spans="1:9">
      <c r="A21" s="4" t="s">
        <v>34</v>
      </c>
      <c r="B21" s="9">
        <v>799.959</v>
      </c>
      <c r="C21" s="9">
        <v>778.184</v>
      </c>
      <c r="D21" s="9">
        <v>759.545</v>
      </c>
      <c r="E21" s="9">
        <v>743.498</v>
      </c>
      <c r="F21" s="9">
        <v>730.439</v>
      </c>
      <c r="G21" s="9">
        <v>717.515</v>
      </c>
      <c r="H21" s="9">
        <v>706.82</v>
      </c>
      <c r="I21" s="9">
        <v>697.283</v>
      </c>
    </row>
    <row r="22" spans="1:9">
      <c r="A22" s="4" t="s">
        <v>35</v>
      </c>
      <c r="B22" s="9">
        <v>0.0483292</v>
      </c>
      <c r="C22" s="9">
        <v>0.0450507</v>
      </c>
      <c r="D22" s="9">
        <v>0.0423586</v>
      </c>
      <c r="E22" s="9">
        <v>0.0401195</v>
      </c>
      <c r="F22" s="9">
        <v>0.0383723</v>
      </c>
      <c r="G22" s="9">
        <v>0.0366673</v>
      </c>
      <c r="H22" s="9">
        <v>0.035307</v>
      </c>
      <c r="I22" s="9">
        <v>0.0341176</v>
      </c>
    </row>
    <row r="23" spans="1:9">
      <c r="A23" s="4" t="s">
        <v>36</v>
      </c>
      <c r="B23" s="9">
        <v>2306.9</v>
      </c>
      <c r="C23" s="9">
        <v>2317.68</v>
      </c>
      <c r="D23" s="9">
        <v>2326.83</v>
      </c>
      <c r="E23" s="9">
        <v>2334.66</v>
      </c>
      <c r="F23" s="9">
        <v>2341</v>
      </c>
      <c r="G23" s="9">
        <v>2347.22</v>
      </c>
      <c r="H23" s="9">
        <v>2352.35</v>
      </c>
      <c r="I23" s="9">
        <v>2356.89</v>
      </c>
    </row>
    <row r="24" spans="1:9">
      <c r="A24" s="4" t="s">
        <v>37</v>
      </c>
      <c r="B24" s="9">
        <v>5.56295</v>
      </c>
      <c r="C24" s="9">
        <v>5.66258</v>
      </c>
      <c r="D24" s="9">
        <v>5.80916</v>
      </c>
      <c r="E24" s="9">
        <v>5.86624</v>
      </c>
      <c r="F24" s="9">
        <v>5.9224</v>
      </c>
      <c r="G24" s="9">
        <v>5.96356</v>
      </c>
      <c r="H24" s="9">
        <v>6.00635</v>
      </c>
      <c r="I24" s="9">
        <v>6.08954</v>
      </c>
    </row>
    <row r="25" spans="1:9">
      <c r="A25" s="4" t="s">
        <v>38</v>
      </c>
      <c r="B25" s="9">
        <v>2.56295</v>
      </c>
      <c r="C25" s="9">
        <v>2.66258</v>
      </c>
      <c r="D25" s="9">
        <v>2.80916</v>
      </c>
      <c r="E25" s="9">
        <v>2.86624</v>
      </c>
      <c r="F25" s="9">
        <v>2.9224</v>
      </c>
      <c r="G25" s="9">
        <v>2.96356</v>
      </c>
      <c r="H25" s="9">
        <v>3.00635</v>
      </c>
      <c r="I25" s="9">
        <v>3.08954</v>
      </c>
    </row>
    <row r="26" spans="1:9">
      <c r="A26" s="4" t="s">
        <v>39</v>
      </c>
      <c r="B26" s="9">
        <v>2.08672</v>
      </c>
      <c r="C26" s="9">
        <v>2.03738</v>
      </c>
      <c r="D26" s="9">
        <v>1.94349</v>
      </c>
      <c r="E26" s="9">
        <v>1.91771</v>
      </c>
      <c r="F26" s="9">
        <v>1.71462</v>
      </c>
      <c r="G26" s="9">
        <v>1.8397</v>
      </c>
      <c r="H26" s="9">
        <v>1.64388</v>
      </c>
      <c r="I26" s="9">
        <v>1.48229</v>
      </c>
    </row>
    <row r="27" spans="1:9">
      <c r="A27" s="4" t="s">
        <v>40</v>
      </c>
      <c r="B27" s="9">
        <v>234955</v>
      </c>
      <c r="C27" s="9">
        <v>246402</v>
      </c>
      <c r="D27" s="9">
        <v>273858</v>
      </c>
      <c r="E27" s="9">
        <v>300492</v>
      </c>
      <c r="F27" s="9">
        <v>362786</v>
      </c>
      <c r="G27" s="9">
        <v>330676</v>
      </c>
      <c r="H27" s="9">
        <v>442658</v>
      </c>
      <c r="I27" s="9">
        <v>400286</v>
      </c>
    </row>
    <row r="28" spans="1:9">
      <c r="A28" s="4" t="s">
        <v>41</v>
      </c>
      <c r="B28" s="9">
        <v>1824.77</v>
      </c>
      <c r="C28" s="9">
        <v>1856.42</v>
      </c>
      <c r="D28" s="9">
        <v>1918.6</v>
      </c>
      <c r="E28" s="9">
        <v>1970.84</v>
      </c>
      <c r="F28" s="9">
        <v>2088.24</v>
      </c>
      <c r="G28" s="9">
        <v>2045.5</v>
      </c>
      <c r="H28" s="9">
        <v>2213.64</v>
      </c>
      <c r="I28" s="9">
        <v>2205.44</v>
      </c>
    </row>
    <row r="29" spans="1:9">
      <c r="A29" s="4" t="s">
        <v>42</v>
      </c>
      <c r="B29" s="9">
        <v>0.448552</v>
      </c>
      <c r="C29" s="9">
        <v>0.462234</v>
      </c>
      <c r="D29" s="9">
        <v>0.496763</v>
      </c>
      <c r="E29" s="9">
        <v>0.527698</v>
      </c>
      <c r="F29" s="9">
        <v>0.60521</v>
      </c>
      <c r="G29" s="9">
        <v>0.555024</v>
      </c>
      <c r="H29" s="9">
        <v>0.687758</v>
      </c>
      <c r="I29" s="9">
        <v>0.63228</v>
      </c>
    </row>
    <row r="30" spans="1:9">
      <c r="A30" s="4" t="s">
        <v>43</v>
      </c>
      <c r="B30" s="9">
        <v>21.1711224646104</v>
      </c>
      <c r="C30" s="9">
        <v>24.4847220152035</v>
      </c>
      <c r="D30" s="9">
        <v>29.6527529641059</v>
      </c>
      <c r="E30" s="9">
        <v>35.0939971900697</v>
      </c>
      <c r="F30" s="9">
        <v>45.0903893359848</v>
      </c>
      <c r="G30" s="9">
        <v>43.7852131092406</v>
      </c>
      <c r="H30" s="9">
        <v>61.7921565233414</v>
      </c>
      <c r="I30" s="9">
        <v>58.6161249037186</v>
      </c>
    </row>
    <row r="31" spans="1:9">
      <c r="A31" s="4" t="s">
        <v>44</v>
      </c>
      <c r="B31" s="10">
        <v>0.01347</v>
      </c>
      <c r="C31" s="10">
        <v>0.02815</v>
      </c>
      <c r="D31" s="10">
        <v>0.03243</v>
      </c>
      <c r="E31" s="10">
        <v>0.02607</v>
      </c>
      <c r="F31" s="10">
        <v>0.04149</v>
      </c>
      <c r="G31" s="10">
        <v>0.02794</v>
      </c>
      <c r="H31" s="10">
        <v>0.03316</v>
      </c>
      <c r="I31" s="10">
        <v>0.05705</v>
      </c>
    </row>
    <row r="33" spans="1:1">
      <c r="A33" s="6" t="s">
        <v>45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selection activeCell="A12" sqref="A12"/>
    </sheetView>
  </sheetViews>
  <sheetFormatPr defaultColWidth="8.67619047619048" defaultRowHeight="15" outlineLevelCol="7"/>
  <cols>
    <col min="1" max="1" width="40" style="1" customWidth="1"/>
    <col min="2" max="9" width="15" style="1" customWidth="1"/>
    <col min="10" max="16384" width="8.67619047619048" style="1"/>
  </cols>
  <sheetData>
    <row r="1" ht="15.75" spans="1:8">
      <c r="A1" s="2" t="s">
        <v>81</v>
      </c>
    </row>
    <row r="3" spans="1:8">
      <c r="A3" s="3" t="s">
        <v>9</v>
      </c>
      <c r="B3" s="3" t="s">
        <v>49</v>
      </c>
      <c r="C3" s="3" t="s">
        <v>50</v>
      </c>
      <c r="D3" s="3" t="s">
        <v>51</v>
      </c>
      <c r="E3" s="3" t="s">
        <v>52</v>
      </c>
      <c r="F3" s="3" t="s">
        <v>82</v>
      </c>
      <c r="G3" s="3" t="s">
        <v>83</v>
      </c>
      <c r="H3" s="3" t="s">
        <v>84</v>
      </c>
    </row>
    <row r="4" spans="1:8">
      <c r="A4" s="4" t="str">
        <f>Fine_values!A4</f>
        <v>Cells [-]</v>
      </c>
      <c r="B4" s="7">
        <f>IFERROR((Fine_values!C4-Fine_values!B4)/ABS(Fine_values!B4),"")</f>
        <v>0.233019853709509</v>
      </c>
      <c r="C4" s="7">
        <f>IFERROR((Fine_values!D4-Fine_values!C4)/ABS(Fine_values!C4),"")</f>
        <v>0.208757062146893</v>
      </c>
      <c r="D4" s="7">
        <f>IFERROR((Fine_values!E4-Fine_values!D4)/ABS(Fine_values!D4),"")</f>
        <v>0.191867258705305</v>
      </c>
      <c r="E4" s="7">
        <f>IFERROR((Fine_values!F4-Fine_values!E4)/ABS(Fine_values!E4),"")</f>
        <v>0.172549019607843</v>
      </c>
      <c r="F4" s="7">
        <f>IFERROR((Fine_values!G4-Fine_values!F4)/ABS(Fine_values!F4),"")</f>
        <v>0.161204013377926</v>
      </c>
      <c r="G4" s="7">
        <f>IFERROR((Fine_values!H4-Fine_values!G4)/ABS(Fine_values!G4),"")</f>
        <v>0.147033410138249</v>
      </c>
      <c r="H4" s="7">
        <f>IFERROR((Fine_values!I4-Fine_values!H4)/ABS(Fine_values!H4),"")</f>
        <v>0.136974262397991</v>
      </c>
    </row>
    <row r="5" spans="1:8">
      <c r="A5" s="4" t="str">
        <f>Fine_values!A5</f>
        <v>Mass flow, inlet [kg/s]</v>
      </c>
      <c r="B5" s="7">
        <f>IFERROR((Fine_values!C5-Fine_values!B5)/ABS(Fine_values!B5),"")</f>
        <v>0.00205778042071145</v>
      </c>
      <c r="C5" s="7">
        <f>IFERROR((Fine_values!D5-Fine_values!C5)/ABS(Fine_values!C5),"")</f>
        <v>0.0017376231705858</v>
      </c>
      <c r="D5" s="7">
        <f>IFERROR((Fine_values!E5-Fine_values!D5)/ABS(Fine_values!D5),"")</f>
        <v>0.00147889274831132</v>
      </c>
      <c r="E5" s="7">
        <f>IFERROR((Fine_values!F5-Fine_values!E5)/ABS(Fine_values!E5),"")</f>
        <v>0.00126818224374634</v>
      </c>
      <c r="F5" s="7">
        <f>IFERROR((Fine_values!G5-Fine_values!F5)/ABS(Fine_values!F5),"")</f>
        <v>0.0011093165589934</v>
      </c>
      <c r="G5" s="7">
        <f>IFERROR((Fine_values!H5-Fine_values!G5)/ABS(Fine_values!G5),"")</f>
        <v>0.000967984342428792</v>
      </c>
      <c r="H5" s="7">
        <f>IFERROR((Fine_values!I5-Fine_values!H5)/ABS(Fine_values!H5),"")</f>
        <v>0.00085677082228791</v>
      </c>
    </row>
    <row r="6" spans="1:8">
      <c r="A6" s="4" t="str">
        <f>Fine_values!A6</f>
        <v>Mass flow, exit plane [kg/s]</v>
      </c>
      <c r="B6" s="7">
        <f>IFERROR((Fine_values!C6-Fine_values!B6)/ABS(Fine_values!B6),"")</f>
        <v>0.00272908665708345</v>
      </c>
      <c r="C6" s="7">
        <f>IFERROR((Fine_values!D6-Fine_values!C6)/ABS(Fine_values!C6),"")</f>
        <v>0.00203696492226592</v>
      </c>
      <c r="D6" s="7">
        <f>IFERROR((Fine_values!E6-Fine_values!D6)/ABS(Fine_values!D6),"")</f>
        <v>0.00195168199114257</v>
      </c>
      <c r="E6" s="7">
        <f>IFERROR((Fine_values!F6-Fine_values!E6)/ABS(Fine_values!E6),"")</f>
        <v>0.00136820479596275</v>
      </c>
      <c r="F6" s="7">
        <f>IFERROR((Fine_values!G6-Fine_values!F6)/ABS(Fine_values!F6),"")</f>
        <v>-0.00151531274607868</v>
      </c>
      <c r="G6" s="7">
        <f>IFERROR((Fine_values!H6-Fine_values!G6)/ABS(Fine_values!G6),"")</f>
        <v>0.00497486987326234</v>
      </c>
      <c r="H6" s="7">
        <f>IFERROR((Fine_values!I6-Fine_values!H6)/ABS(Fine_values!H6),"")</f>
        <v>-0.00174764365036942</v>
      </c>
    </row>
    <row r="7" spans="1:8">
      <c r="A7" s="4" t="str">
        <f>Fine_values!A7</f>
        <v>Thrust, wall-pressure method [N]</v>
      </c>
      <c r="B7" s="7">
        <f>IFERROR((Fine_values!C7-Fine_values!B7)/ABS(Fine_values!B7),"")</f>
        <v>0.00203972881234495</v>
      </c>
      <c r="C7" s="7">
        <f>IFERROR((Fine_values!D7-Fine_values!C7)/ABS(Fine_values!C7),"")</f>
        <v>0.00171381711984877</v>
      </c>
      <c r="D7" s="7">
        <f>IFERROR((Fine_values!E7-Fine_values!D7)/ABS(Fine_values!D7),"")</f>
        <v>0.00146551685678978</v>
      </c>
      <c r="E7" s="7">
        <f>IFERROR((Fine_values!F7-Fine_values!E7)/ABS(Fine_values!E7),"")</f>
        <v>0.00125622824152547</v>
      </c>
      <c r="F7" s="7">
        <f>IFERROR((Fine_values!G7-Fine_values!F7)/ABS(Fine_values!F7),"")</f>
        <v>0.00109448375737164</v>
      </c>
      <c r="G7" s="7">
        <f>IFERROR((Fine_values!H7-Fine_values!G7)/ABS(Fine_values!G7),"")</f>
        <v>0.000971070110373118</v>
      </c>
      <c r="H7" s="7">
        <f>IFERROR((Fine_values!I7-Fine_values!H7)/ABS(Fine_values!H7),"")</f>
        <v>0.000843589606976042</v>
      </c>
    </row>
    <row r="8" spans="1:8">
      <c r="A8" s="4" t="str">
        <f>Fine_values!A8</f>
        <v>Thrust, exit-plane method [N]</v>
      </c>
      <c r="B8" s="7">
        <f>IFERROR((Fine_values!C8-Fine_values!B8)/ABS(Fine_values!B8),"")</f>
        <v>0.00368642502871877</v>
      </c>
      <c r="C8" s="7">
        <f>IFERROR((Fine_values!D8-Fine_values!C8)/ABS(Fine_values!C8),"")</f>
        <v>0.00266380119916203</v>
      </c>
      <c r="D8" s="7">
        <f>IFERROR((Fine_values!E8-Fine_values!D8)/ABS(Fine_values!D8),"")</f>
        <v>0.00273777681715433</v>
      </c>
      <c r="E8" s="7">
        <f>IFERROR((Fine_values!F8-Fine_values!E8)/ABS(Fine_values!E8),"")</f>
        <v>0.00163234329953387</v>
      </c>
      <c r="F8" s="7">
        <f>IFERROR((Fine_values!G8-Fine_values!F8)/ABS(Fine_values!F8),"")</f>
        <v>-0.000230890452567704</v>
      </c>
      <c r="G8" s="7">
        <f>IFERROR((Fine_values!H8-Fine_values!G8)/ABS(Fine_values!G8),"")</f>
        <v>0.0029013713127472</v>
      </c>
      <c r="H8" s="7">
        <f>IFERROR((Fine_values!I8-Fine_values!H8)/ABS(Fine_values!H8),"")</f>
        <v>0.00105747948758076</v>
      </c>
    </row>
    <row r="9" spans="1:8">
      <c r="A9" s="4" t="str">
        <f>Fine_values!A9</f>
        <v>Specific impulse Isp [s]</v>
      </c>
      <c r="B9" s="7">
        <f>IFERROR((Fine_values!C9-Fine_values!B9)/ABS(Fine_values!B9),"")</f>
        <v>0.000957968485425945</v>
      </c>
      <c r="C9" s="7">
        <f>IFERROR((Fine_values!D9-Fine_values!C9)/ABS(Fine_values!C9),"")</f>
        <v>0.000625963518225416</v>
      </c>
      <c r="D9" s="7">
        <f>IFERROR((Fine_values!E9-Fine_values!D9)/ABS(Fine_values!D9),"")</f>
        <v>0.000785842428253035</v>
      </c>
      <c r="E9" s="7">
        <f>IFERROR((Fine_values!F9-Fine_values!E9)/ABS(Fine_values!E9),"")</f>
        <v>0.000263463773731195</v>
      </c>
      <c r="F9" s="7">
        <f>IFERROR((Fine_values!G9-Fine_values!F9)/ABS(Fine_values!F9),"")</f>
        <v>0.00128081972462371</v>
      </c>
      <c r="G9" s="7">
        <f>IFERROR((Fine_values!H9-Fine_values!G9)/ABS(Fine_values!G9),"")</f>
        <v>-0.00206319568379466</v>
      </c>
      <c r="H9" s="7">
        <f>IFERROR((Fine_values!I9-Fine_values!H9)/ABS(Fine_values!H9),"")</f>
        <v>0.00281174731488474</v>
      </c>
    </row>
    <row r="10" spans="1:8">
      <c r="A10" s="4" t="str">
        <f>Fine_values!A10</f>
        <v>Discharge coefficient Cd [-]</v>
      </c>
      <c r="B10" s="7">
        <f>IFERROR((Fine_values!C10-Fine_values!B10)/ABS(Fine_values!B10),"")</f>
        <v>0.00272866699912495</v>
      </c>
      <c r="C10" s="7">
        <f>IFERROR((Fine_values!D10-Fine_values!C10)/ABS(Fine_values!C10),"")</f>
        <v>0.0020372820530465</v>
      </c>
      <c r="D10" s="7">
        <f>IFERROR((Fine_values!E10-Fine_values!D10)/ABS(Fine_values!D10),"")</f>
        <v>0.00195198085477199</v>
      </c>
      <c r="E10" s="7">
        <f>IFERROR((Fine_values!F10-Fine_values!E10)/ABS(Fine_values!E10),"")</f>
        <v>0.00136767083683387</v>
      </c>
      <c r="F10" s="7">
        <f>IFERROR((Fine_values!G10-Fine_values!F10)/ABS(Fine_values!F10),"")</f>
        <v>-0.00151617600086279</v>
      </c>
      <c r="G10" s="7">
        <f>IFERROR((Fine_values!H10-Fine_values!G10)/ABS(Fine_values!G10),"")</f>
        <v>0.00497711896269852</v>
      </c>
      <c r="H10" s="7">
        <f>IFERROR((Fine_values!I10-Fine_values!H10)/ABS(Fine_values!H10),"")</f>
        <v>-0.00174866008404308</v>
      </c>
    </row>
    <row r="11" spans="1:8">
      <c r="A11" s="4" t="str">
        <f>Fine_values!A11</f>
        <v>Exit-axis Mach [-]</v>
      </c>
      <c r="B11" s="7">
        <f>IFERROR((Fine_values!C11-Fine_values!B11)/ABS(Fine_values!B11),"")</f>
        <v>0.000307692307692274</v>
      </c>
      <c r="C11" s="7">
        <f>IFERROR((Fine_values!D11-Fine_values!C11)/ABS(Fine_values!C11),"")</f>
        <v>0.000615195324515603</v>
      </c>
      <c r="D11" s="7">
        <f>IFERROR((Fine_values!E11-Fine_values!D11)/ABS(Fine_values!D11),"")</f>
        <v>0</v>
      </c>
      <c r="E11" s="7">
        <f>IFERROR((Fine_values!F11-Fine_values!E11)/ABS(Fine_values!E11),"")</f>
        <v>0.000307408545957544</v>
      </c>
      <c r="F11" s="7">
        <f>IFERROR((Fine_values!G11-Fine_values!F11)/ABS(Fine_values!F11),"")</f>
        <v>0.0003073140749846</v>
      </c>
      <c r="G11" s="7">
        <f>IFERROR((Fine_values!H11-Fine_values!G11)/ABS(Fine_values!G11),"")</f>
        <v>0</v>
      </c>
      <c r="H11" s="7">
        <f>IFERROR((Fine_values!I11-Fine_values!H11)/ABS(Fine_values!H11),"")</f>
        <v>0.000307219662058338</v>
      </c>
    </row>
    <row r="12" spans="1:8">
      <c r="A12" s="4" t="str">
        <f>Fine_values!A12</f>
        <v>Exit-axis temperature [K]</v>
      </c>
      <c r="B12" s="7">
        <f>IFERROR((Fine_values!C12-Fine_values!B12)/ABS(Fine_values!B12),"")</f>
        <v>0</v>
      </c>
      <c r="C12" s="7">
        <f>IFERROR((Fine_values!D12-Fine_values!C12)/ABS(Fine_values!C12),"")</f>
        <v>-0.000880281690140845</v>
      </c>
      <c r="D12" s="7">
        <f>IFERROR((Fine_values!E12-Fine_values!D12)/ABS(Fine_values!D12),"")</f>
        <v>0</v>
      </c>
      <c r="E12" s="7">
        <f>IFERROR((Fine_values!F12-Fine_values!E12)/ABS(Fine_values!E12),"")</f>
        <v>0</v>
      </c>
      <c r="F12" s="7">
        <f>IFERROR((Fine_values!G12-Fine_values!F12)/ABS(Fine_values!F12),"")</f>
        <v>-0.000881057268722467</v>
      </c>
      <c r="G12" s="7">
        <f>IFERROR((Fine_values!H12-Fine_values!G12)/ABS(Fine_values!G12),"")</f>
        <v>0</v>
      </c>
      <c r="H12" s="7">
        <f>IFERROR((Fine_values!I12-Fine_values!H12)/ABS(Fine_values!H12),"")</f>
        <v>0</v>
      </c>
    </row>
    <row r="13" spans="1:8">
      <c r="A13" s="4" t="str">
        <f>Fine_values!A13</f>
        <v>Exit-axis pressure [Pa]</v>
      </c>
      <c r="B13" s="7">
        <f>IFERROR((Fine_values!C13-Fine_values!B13)/ABS(Fine_values!B13),"")</f>
        <v>0.00349558105790793</v>
      </c>
      <c r="C13" s="7">
        <f>IFERROR((Fine_values!D13-Fine_values!C13)/ABS(Fine_values!C13),"")</f>
        <v>0.00297951582867784</v>
      </c>
      <c r="D13" s="7">
        <f>IFERROR((Fine_values!E13-Fine_values!D13)/ABS(Fine_values!D13),"")</f>
        <v>0.0025993316004456</v>
      </c>
      <c r="E13" s="7">
        <f>IFERROR((Fine_values!F13-Fine_values!E13)/ABS(Fine_values!E13),"")</f>
        <v>0.00226579520697168</v>
      </c>
      <c r="F13" s="7">
        <f>IFERROR((Fine_values!G13-Fine_values!F13)/ABS(Fine_values!F13),"")</f>
        <v>0.00199982610207808</v>
      </c>
      <c r="G13" s="7">
        <f>IFERROR((Fine_values!H13-Fine_values!G13)/ABS(Fine_values!G13),"")</f>
        <v>0.00180059007289136</v>
      </c>
      <c r="H13" s="7">
        <f>IFERROR((Fine_values!I13-Fine_values!H13)/ABS(Fine_values!H13),"")</f>
        <v>0.00162411485740272</v>
      </c>
    </row>
    <row r="14" spans="1:8">
      <c r="A14" s="4" t="str">
        <f>Fine_values!A14</f>
        <v>Exit-axis velocity [m/s]</v>
      </c>
      <c r="B14" s="7">
        <f>IFERROR((Fine_values!C14-Fine_values!B14)/ABS(Fine_values!B14),"")</f>
        <v>0.000233710386089558</v>
      </c>
      <c r="C14" s="7">
        <f>IFERROR((Fine_values!D14-Fine_values!C14)/ABS(Fine_values!C14),"")</f>
        <v>0.000186924622645961</v>
      </c>
      <c r="D14" s="7">
        <f>IFERROR((Fine_values!E14-Fine_values!D14)/ABS(Fine_values!D14),"")</f>
        <v>0.000140167266270956</v>
      </c>
      <c r="E14" s="7">
        <f>IFERROR((Fine_values!F14-Fine_values!E14)/ABS(Fine_values!E14),"")</f>
        <v>0.000140147622162096</v>
      </c>
      <c r="F14" s="7">
        <f>IFERROR((Fine_values!G14-Fine_values!F14)/ABS(Fine_values!F14),"")</f>
        <v>9.34186557054594e-5</v>
      </c>
      <c r="G14" s="7">
        <f>IFERROR((Fine_values!H14-Fine_values!G14)/ABS(Fine_values!G14),"")</f>
        <v>9.34099294756307e-5</v>
      </c>
      <c r="H14" s="7">
        <f>IFERROR((Fine_values!I14-Fine_values!H14)/ABS(Fine_values!H14),"")</f>
        <v>4.6700602437729e-5</v>
      </c>
    </row>
    <row r="15" spans="1:8">
      <c r="A15" s="4" t="str">
        <f>Fine_values!A15</f>
        <v>Exit-axis density [kg/m3]</v>
      </c>
      <c r="B15" s="7">
        <f>IFERROR((Fine_values!C15-Fine_values!B15)/ABS(Fine_values!B15),"")</f>
        <v>0.00396481140259683</v>
      </c>
      <c r="C15" s="7">
        <f>IFERROR((Fine_values!D15-Fine_values!C15)/ABS(Fine_values!C15),"")</f>
        <v>0.00334214096979236</v>
      </c>
      <c r="D15" s="7">
        <f>IFERROR((Fine_values!E15-Fine_values!D15)/ABS(Fine_values!D15),"")</f>
        <v>0.00285413315492025</v>
      </c>
      <c r="E15" s="7">
        <f>IFERROR((Fine_values!F15-Fine_values!E15)/ABS(Fine_values!E15),"")</f>
        <v>0.0024698542927914</v>
      </c>
      <c r="F15" s="7">
        <f>IFERROR((Fine_values!G15-Fine_values!F15)/ABS(Fine_values!F15),"")</f>
        <v>0.00217349749021219</v>
      </c>
      <c r="G15" s="7">
        <f>IFERROR((Fine_values!H15-Fine_values!G15)/ABS(Fine_values!G15),"")</f>
        <v>0.00191446373822</v>
      </c>
      <c r="H15" s="7">
        <f>IFERROR((Fine_values!I15-Fine_values!H15)/ABS(Fine_values!H15),"")</f>
        <v>0.0017133791644632</v>
      </c>
    </row>
    <row r="16" spans="1:8">
      <c r="A16" s="4" t="str">
        <f>Fine_values!A16</f>
        <v>Exit mass-averaged Mach [-]</v>
      </c>
      <c r="B16" s="7">
        <f>IFERROR((Fine_values!C16-Fine_values!B16)/ABS(Fine_values!B16),"")</f>
        <v>0.00198281559814945</v>
      </c>
      <c r="C16" s="7">
        <f>IFERROR((Fine_values!D16-Fine_values!C16)/ABS(Fine_values!C16),"")</f>
        <v>0.00164907651715036</v>
      </c>
      <c r="D16" s="7">
        <f>IFERROR((Fine_values!E16-Fine_values!D16)/ABS(Fine_values!D16),"")</f>
        <v>0.00164636154099437</v>
      </c>
      <c r="E16" s="7">
        <f>IFERROR((Fine_values!F16-Fine_values!E16)/ABS(Fine_values!E16),"")</f>
        <v>0.000986193293885639</v>
      </c>
      <c r="F16" s="7">
        <f>IFERROR((Fine_values!G16-Fine_values!F16)/ABS(Fine_values!F16),"")</f>
        <v>0.00328407224958957</v>
      </c>
      <c r="G16" s="7">
        <f>IFERROR((Fine_values!H16-Fine_values!G16)/ABS(Fine_values!G16),"")</f>
        <v>-0.00392798690671031</v>
      </c>
      <c r="H16" s="7">
        <f>IFERROR((Fine_values!I16-Fine_values!H16)/ABS(Fine_values!H16),"")</f>
        <v>0.00492934604009191</v>
      </c>
    </row>
    <row r="17" spans="1:8">
      <c r="A17" s="4" t="str">
        <f>Fine_values!A17</f>
        <v>Throat-axis Mach [-]</v>
      </c>
      <c r="B17" s="7">
        <f>IFERROR((Fine_values!C17-Fine_values!B17)/ABS(Fine_values!B17),"")</f>
        <v>-0.000587651963124883</v>
      </c>
      <c r="C17" s="7">
        <f>IFERROR((Fine_values!D17-Fine_values!C17)/ABS(Fine_values!C17),"")</f>
        <v>-0.000489997917508797</v>
      </c>
      <c r="D17" s="7">
        <f>IFERROR((Fine_values!E17-Fine_values!D17)/ABS(Fine_values!D17),"")</f>
        <v>-0.000404446459867945</v>
      </c>
      <c r="E17" s="7">
        <f>IFERROR((Fine_values!F17-Fine_values!E17)/ABS(Fine_values!E17),"")</f>
        <v>-0.000343305541932255</v>
      </c>
      <c r="F17" s="7">
        <f>IFERROR((Fine_values!G17-Fine_values!F17)/ABS(Fine_values!F17),"")</f>
        <v>-0.000294362949516776</v>
      </c>
      <c r="G17" s="7">
        <f>IFERROR((Fine_values!H17-Fine_values!G17)/ABS(Fine_values!G17),"")</f>
        <v>-0.000257643421504691</v>
      </c>
      <c r="H17" s="7">
        <f>IFERROR((Fine_values!I17-Fine_values!H17)/ABS(Fine_values!H17),"")</f>
        <v>-0.000257709818744011</v>
      </c>
    </row>
    <row r="18" spans="1:8">
      <c r="A18" s="4" t="str">
        <f>Fine_values!A18</f>
        <v>Plume 1st cell: x of axis Mach peak [m]</v>
      </c>
      <c r="B18" s="7">
        <f>IFERROR((Fine_values!C18-Fine_values!B18)/ABS(Fine_values!B18),"")</f>
        <v>0.0296084912191978</v>
      </c>
      <c r="C18" s="7">
        <f>IFERROR((Fine_values!D18-Fine_values!C18)/ABS(Fine_values!C18),"")</f>
        <v>0.0240733485753046</v>
      </c>
      <c r="D18" s="7">
        <f>IFERROR((Fine_values!E18-Fine_values!D18)/ABS(Fine_values!D18),"")</f>
        <v>0.0294133321152323</v>
      </c>
      <c r="E18" s="7">
        <f>IFERROR((Fine_values!F18-Fine_values!E18)/ABS(Fine_values!E18),"")</f>
        <v>0.0160281180781789</v>
      </c>
      <c r="F18" s="7">
        <f>IFERROR((Fine_values!G18-Fine_values!F18)/ABS(Fine_values!F18),"")</f>
        <v>0.0215383663523987</v>
      </c>
      <c r="G18" s="7">
        <f>IFERROR((Fine_values!H18-Fine_values!G18)/ABS(Fine_values!G18),"")</f>
        <v>0.0112920780879532</v>
      </c>
      <c r="H18" s="7">
        <f>IFERROR((Fine_values!I18-Fine_values!H18)/ABS(Fine_values!H18),"")</f>
        <v>0.0175689529439533</v>
      </c>
    </row>
    <row r="19" spans="1:8">
      <c r="A19" s="4" t="str">
        <f>Fine_values!A19</f>
        <v>Plume 1st cell: peak axis Mach [-]</v>
      </c>
      <c r="B19" s="7">
        <f>IFERROR((Fine_values!C19-Fine_values!B19)/ABS(Fine_values!B19),"")</f>
        <v>0.0178211358526148</v>
      </c>
      <c r="C19" s="7">
        <f>IFERROR((Fine_values!D19-Fine_values!C19)/ABS(Fine_values!C19),"")</f>
        <v>0.0154805086215293</v>
      </c>
      <c r="D19" s="7">
        <f>IFERROR((Fine_values!E19-Fine_values!D19)/ABS(Fine_values!D19),"")</f>
        <v>0.0135111743212834</v>
      </c>
      <c r="E19" s="7">
        <f>IFERROR((Fine_values!F19-Fine_values!E19)/ABS(Fine_values!E19),"")</f>
        <v>0.0111338321708664</v>
      </c>
      <c r="F19" s="7">
        <f>IFERROR((Fine_values!G19-Fine_values!F19)/ABS(Fine_values!F19),"")</f>
        <v>0.0111344950216618</v>
      </c>
      <c r="G19" s="7">
        <f>IFERROR((Fine_values!H19-Fine_values!G19)/ABS(Fine_values!G19),"")</f>
        <v>0.00931201690385027</v>
      </c>
      <c r="H19" s="7">
        <f>IFERROR((Fine_values!I19-Fine_values!H19)/ABS(Fine_values!H19),"")</f>
        <v>0.00837842008852592</v>
      </c>
    </row>
    <row r="20" spans="1:8">
      <c r="A20" s="4" t="str">
        <f>Fine_values!A20</f>
        <v>Plume 1st cell: axis pressure at peak [Pa]</v>
      </c>
      <c r="B20" s="7">
        <f>IFERROR((Fine_values!C20-Fine_values!B20)/ABS(Fine_values!B20),"")</f>
        <v>-0.0932068229124429</v>
      </c>
      <c r="C20" s="7">
        <f>IFERROR((Fine_values!D20-Fine_values!C20)/ABS(Fine_values!C20),"")</f>
        <v>-0.0822775376360113</v>
      </c>
      <c r="D20" s="7">
        <f>IFERROR((Fine_values!E20-Fine_values!D20)/ABS(Fine_values!D20),"")</f>
        <v>-0.0728720697309296</v>
      </c>
      <c r="E20" s="7">
        <f>IFERROR((Fine_values!F20-Fine_values!E20)/ABS(Fine_values!E20),"")</f>
        <v>-0.0603492675611884</v>
      </c>
      <c r="F20" s="7">
        <f>IFERROR((Fine_values!G20-Fine_values!F20)/ABS(Fine_values!F20),"")</f>
        <v>-0.0613392163564615</v>
      </c>
      <c r="G20" s="7">
        <f>IFERROR((Fine_values!H20-Fine_values!G20)/ABS(Fine_values!G20),"")</f>
        <v>-0.0514510283717524</v>
      </c>
      <c r="H20" s="7">
        <f>IFERROR((Fine_values!I20-Fine_values!H20)/ABS(Fine_values!H20),"")</f>
        <v>-0.0467247189285924</v>
      </c>
    </row>
    <row r="21" spans="1:8">
      <c r="A21" s="4" t="str">
        <f>Fine_values!A21</f>
        <v>Plume 1st cell: axis temperature at peak [K]</v>
      </c>
      <c r="B21" s="7">
        <f>IFERROR((Fine_values!C21-Fine_values!B21)/ABS(Fine_values!B21),"")</f>
        <v>-0.0272201450324329</v>
      </c>
      <c r="C21" s="7">
        <f>IFERROR((Fine_values!D21-Fine_values!C21)/ABS(Fine_values!C21),"")</f>
        <v>-0.0239519188263958</v>
      </c>
      <c r="D21" s="7">
        <f>IFERROR((Fine_values!E21-Fine_values!D21)/ABS(Fine_values!D21),"")</f>
        <v>-0.0211271221586607</v>
      </c>
      <c r="E21" s="7">
        <f>IFERROR((Fine_values!F21-Fine_values!E21)/ABS(Fine_values!E21),"")</f>
        <v>-0.0175642705158589</v>
      </c>
      <c r="F21" s="7">
        <f>IFERROR((Fine_values!G21-Fine_values!F21)/ABS(Fine_values!F21),"")</f>
        <v>-0.01769346926985</v>
      </c>
      <c r="G21" s="7">
        <f>IFERROR((Fine_values!H21-Fine_values!G21)/ABS(Fine_values!G21),"")</f>
        <v>-0.0149056117293714</v>
      </c>
      <c r="H21" s="7">
        <f>IFERROR((Fine_values!I21-Fine_values!H21)/ABS(Fine_values!H21),"")</f>
        <v>-0.0134928270280977</v>
      </c>
    </row>
    <row r="22" spans="1:8">
      <c r="A22" s="4" t="str">
        <f>Fine_values!A22</f>
        <v>Plume 1st cell: axis density at peak [kg/m3]</v>
      </c>
      <c r="B22" s="7">
        <f>IFERROR((Fine_values!C22-Fine_values!B22)/ABS(Fine_values!B22),"")</f>
        <v>-0.0678368357018118</v>
      </c>
      <c r="C22" s="7">
        <f>IFERROR((Fine_values!D22-Fine_values!C22)/ABS(Fine_values!C22),"")</f>
        <v>-0.0597571180913947</v>
      </c>
      <c r="D22" s="7">
        <f>IFERROR((Fine_values!E22-Fine_values!D22)/ABS(Fine_values!D22),"")</f>
        <v>-0.0528605761285784</v>
      </c>
      <c r="E22" s="7">
        <f>IFERROR((Fine_values!F22-Fine_values!E22)/ABS(Fine_values!E22),"")</f>
        <v>-0.0435498946896149</v>
      </c>
      <c r="F22" s="7">
        <f>IFERROR((Fine_values!G22-Fine_values!F22)/ABS(Fine_values!F22),"")</f>
        <v>-0.044433093663919</v>
      </c>
      <c r="G22" s="7">
        <f>IFERROR((Fine_values!H22-Fine_values!G22)/ABS(Fine_values!G22),"")</f>
        <v>-0.0370984501176798</v>
      </c>
      <c r="H22" s="7">
        <f>IFERROR((Fine_values!I22-Fine_values!H22)/ABS(Fine_values!H22),"")</f>
        <v>-0.0336873707763333</v>
      </c>
    </row>
    <row r="23" spans="1:8">
      <c r="A23" s="4" t="str">
        <f>Fine_values!A23</f>
        <v>Plume 1st cell: axis velocity at peak [m/s]</v>
      </c>
      <c r="B23" s="7">
        <f>IFERROR((Fine_values!C23-Fine_values!B23)/ABS(Fine_values!B23),"")</f>
        <v>0.00467293770861318</v>
      </c>
      <c r="C23" s="7">
        <f>IFERROR((Fine_values!D23-Fine_values!C23)/ABS(Fine_values!C23),"")</f>
        <v>0.00394791343067209</v>
      </c>
      <c r="D23" s="7">
        <f>IFERROR((Fine_values!E23-Fine_values!D23)/ABS(Fine_values!D23),"")</f>
        <v>0.00336509328141718</v>
      </c>
      <c r="E23" s="7">
        <f>IFERROR((Fine_values!F23-Fine_values!E23)/ABS(Fine_values!E23),"")</f>
        <v>0.00271559884522806</v>
      </c>
      <c r="F23" s="7">
        <f>IFERROR((Fine_values!G23-Fine_values!F23)/ABS(Fine_values!F23),"")</f>
        <v>0.00265698419478847</v>
      </c>
      <c r="G23" s="7">
        <f>IFERROR((Fine_values!H23-Fine_values!G23)/ABS(Fine_values!G23),"")</f>
        <v>0.00218556419935077</v>
      </c>
      <c r="H23" s="7">
        <f>IFERROR((Fine_values!I23-Fine_values!H23)/ABS(Fine_values!H23),"")</f>
        <v>0.0019299849087083</v>
      </c>
    </row>
    <row r="24" spans="1:8">
      <c r="A24" s="4" t="str">
        <f>Fine_values!A24</f>
        <v>Plume 1st cell: end (closing shock) x [m]</v>
      </c>
      <c r="B24" s="7">
        <f>IFERROR((Fine_values!C24-Fine_values!B24)/ABS(Fine_values!B24),"")</f>
        <v>0.0179095623724823</v>
      </c>
      <c r="C24" s="7">
        <f>IFERROR((Fine_values!D24-Fine_values!C24)/ABS(Fine_values!C24),"")</f>
        <v>0.0258857270007665</v>
      </c>
      <c r="D24" s="7">
        <f>IFERROR((Fine_values!E24-Fine_values!D24)/ABS(Fine_values!D24),"")</f>
        <v>0.00982586122606367</v>
      </c>
      <c r="E24" s="7">
        <f>IFERROR((Fine_values!F24-Fine_values!E24)/ABS(Fine_values!E24),"")</f>
        <v>0.00957342352171055</v>
      </c>
      <c r="F24" s="7">
        <f>IFERROR((Fine_values!G24-Fine_values!F24)/ABS(Fine_values!F24),"")</f>
        <v>0.00694988518168319</v>
      </c>
      <c r="G24" s="7">
        <f>IFERROR((Fine_values!H24-Fine_values!G24)/ABS(Fine_values!G24),"")</f>
        <v>0.00717524431715286</v>
      </c>
      <c r="H24" s="7">
        <f>IFERROR((Fine_values!I24-Fine_values!H24)/ABS(Fine_values!H24),"")</f>
        <v>0.0138503417216779</v>
      </c>
    </row>
    <row r="25" spans="1:8">
      <c r="A25" s="4" t="str">
        <f>Fine_values!A25</f>
        <v>Plume 1st cell: length from lip [m]</v>
      </c>
      <c r="B25" s="7">
        <f>IFERROR((Fine_values!C25-Fine_values!B25)/ABS(Fine_values!B25),"")</f>
        <v>0.0388731734914846</v>
      </c>
      <c r="C25" s="7">
        <f>IFERROR((Fine_values!D25-Fine_values!C25)/ABS(Fine_values!C25),"")</f>
        <v>0.0550518669861562</v>
      </c>
      <c r="D25" s="7">
        <f>IFERROR((Fine_values!E25-Fine_values!D25)/ABS(Fine_values!D25),"")</f>
        <v>0.020319241339048</v>
      </c>
      <c r="E25" s="7">
        <f>IFERROR((Fine_values!F25-Fine_values!E25)/ABS(Fine_values!E25),"")</f>
        <v>0.0195936139332366</v>
      </c>
      <c r="F25" s="7">
        <f>IFERROR((Fine_values!G25-Fine_values!F25)/ABS(Fine_values!F25),"")</f>
        <v>0.0140843142622502</v>
      </c>
      <c r="G25" s="7">
        <f>IFERROR((Fine_values!H25-Fine_values!G25)/ABS(Fine_values!G25),"")</f>
        <v>0.0144387155988067</v>
      </c>
      <c r="H25" s="7">
        <f>IFERROR((Fine_values!I25-Fine_values!H25)/ABS(Fine_values!H25),"")</f>
        <v>0.0276714288090209</v>
      </c>
    </row>
    <row r="26" spans="1:8">
      <c r="A26" s="4" t="str">
        <f>Fine_values!A26</f>
        <v>Plume 1st cell: axis Mach behind closing shock [-]</v>
      </c>
      <c r="B26" s="7">
        <f>IFERROR((Fine_values!C26-Fine_values!B26)/ABS(Fine_values!B26),"")</f>
        <v>-0.0236447630731483</v>
      </c>
      <c r="C26" s="7">
        <f>IFERROR((Fine_values!D26-Fine_values!C26)/ABS(Fine_values!C26),"")</f>
        <v>-0.046083695726865</v>
      </c>
      <c r="D26" s="7">
        <f>IFERROR((Fine_values!E26-Fine_values!D26)/ABS(Fine_values!D26),"")</f>
        <v>-0.0132647968345605</v>
      </c>
      <c r="E26" s="7">
        <f>IFERROR((Fine_values!F26-Fine_values!E26)/ABS(Fine_values!E26),"")</f>
        <v>-0.105902352284756</v>
      </c>
      <c r="F26" s="7">
        <f>IFERROR((Fine_values!G26-Fine_values!F26)/ABS(Fine_values!F26),"")</f>
        <v>0.0729491082572231</v>
      </c>
      <c r="G26" s="7">
        <f>IFERROR((Fine_values!H26-Fine_values!G26)/ABS(Fine_values!G26),"")</f>
        <v>-0.106441267597978</v>
      </c>
      <c r="H26" s="7">
        <f>IFERROR((Fine_values!I26-Fine_values!H26)/ABS(Fine_values!H26),"")</f>
        <v>-0.0982979292892425</v>
      </c>
    </row>
    <row r="27" spans="1:8">
      <c r="A27" s="4" t="str">
        <f>Fine_values!A27</f>
        <v>Plume 1st cell: axis pressure behind closing shock [Pa]</v>
      </c>
      <c r="B27" s="7">
        <f>IFERROR((Fine_values!C27-Fine_values!B27)/ABS(Fine_values!B27),"")</f>
        <v>0.0487199676533804</v>
      </c>
      <c r="C27" s="7">
        <f>IFERROR((Fine_values!D27-Fine_values!C27)/ABS(Fine_values!C27),"")</f>
        <v>0.111427666983223</v>
      </c>
      <c r="D27" s="7">
        <f>IFERROR((Fine_values!E27-Fine_values!D27)/ABS(Fine_values!D27),"")</f>
        <v>0.0972547816751747</v>
      </c>
      <c r="E27" s="7">
        <f>IFERROR((Fine_values!F27-Fine_values!E27)/ABS(Fine_values!E27),"")</f>
        <v>0.20730668370539</v>
      </c>
      <c r="F27" s="7">
        <f>IFERROR((Fine_values!G27-Fine_values!F27)/ABS(Fine_values!F27),"")</f>
        <v>-0.0885094794176181</v>
      </c>
      <c r="G27" s="7">
        <f>IFERROR((Fine_values!H27-Fine_values!G27)/ABS(Fine_values!G27),"")</f>
        <v>0.338645683387969</v>
      </c>
      <c r="H27" s="7">
        <f>IFERROR((Fine_values!I27-Fine_values!H27)/ABS(Fine_values!H27),"")</f>
        <v>-0.0957217535885492</v>
      </c>
    </row>
    <row r="28" spans="1:8">
      <c r="A28" s="4" t="str">
        <f>Fine_values!A28</f>
        <v>Plume 1st cell: axis temperature behind closing shock [K]</v>
      </c>
      <c r="B28" s="7">
        <f>IFERROR((Fine_values!C28-Fine_values!B28)/ABS(Fine_values!B28),"")</f>
        <v>0.0173446516547291</v>
      </c>
      <c r="C28" s="7">
        <f>IFERROR((Fine_values!D28-Fine_values!C28)/ABS(Fine_values!C28),"")</f>
        <v>0.0334945755809568</v>
      </c>
      <c r="D28" s="7">
        <f>IFERROR((Fine_values!E28-Fine_values!D28)/ABS(Fine_values!D28),"")</f>
        <v>0.0272281872198478</v>
      </c>
      <c r="E28" s="7">
        <f>IFERROR((Fine_values!F28-Fine_values!E28)/ABS(Fine_values!E28),"")</f>
        <v>0.0595685088591666</v>
      </c>
      <c r="F28" s="7">
        <f>IFERROR((Fine_values!G28-Fine_values!F28)/ABS(Fine_values!F28),"")</f>
        <v>-0.0204669961307128</v>
      </c>
      <c r="G28" s="7">
        <f>IFERROR((Fine_values!H28-Fine_values!G28)/ABS(Fine_values!G28),"")</f>
        <v>0.0821999511121974</v>
      </c>
      <c r="H28" s="7">
        <f>IFERROR((Fine_values!I28-Fine_values!H28)/ABS(Fine_values!H28),"")</f>
        <v>-0.00370430602988734</v>
      </c>
    </row>
    <row r="29" spans="1:8">
      <c r="A29" s="4" t="str">
        <f>Fine_values!A29</f>
        <v>Plume 1st cell: axis density behind closing shock [kg/m3]</v>
      </c>
      <c r="B29" s="7">
        <f>IFERROR((Fine_values!C29-Fine_values!B29)/ABS(Fine_values!B29),"")</f>
        <v>0.0305025950168542</v>
      </c>
      <c r="C29" s="7">
        <f>IFERROR((Fine_values!D29-Fine_values!C29)/ABS(Fine_values!C29),"")</f>
        <v>0.0747002600414509</v>
      </c>
      <c r="D29" s="7">
        <f>IFERROR((Fine_values!E29-Fine_values!D29)/ABS(Fine_values!D29),"")</f>
        <v>0.0622731564146283</v>
      </c>
      <c r="E29" s="7">
        <f>IFERROR((Fine_values!F29-Fine_values!E29)/ABS(Fine_values!E29),"")</f>
        <v>0.146887045241786</v>
      </c>
      <c r="F29" s="7">
        <f>IFERROR((Fine_values!G29-Fine_values!F29)/ABS(Fine_values!F29),"")</f>
        <v>-0.0829232828274484</v>
      </c>
      <c r="G29" s="7">
        <f>IFERROR((Fine_values!H29-Fine_values!G29)/ABS(Fine_values!G29),"")</f>
        <v>0.239150018737928</v>
      </c>
      <c r="H29" s="7">
        <f>IFERROR((Fine_values!I29-Fine_values!H29)/ABS(Fine_values!H29),"")</f>
        <v>-0.0806650013522199</v>
      </c>
    </row>
    <row r="30" spans="1:8">
      <c r="A30" s="4" t="str">
        <f>Fine_values!A30</f>
        <v>Plume 1st cell: pressure ratio across closing shock [-]</v>
      </c>
      <c r="B30" s="7">
        <f>IFERROR((Fine_values!C30-Fine_values!B30)/ABS(Fine_values!B30),"")</f>
        <v>0.156515062256718</v>
      </c>
      <c r="C30" s="7">
        <f>IFERROR((Fine_values!D30-Fine_values!C30)/ABS(Fine_values!C30),"")</f>
        <v>0.211071661164598</v>
      </c>
      <c r="D30" s="7">
        <f>IFERROR((Fine_values!E30-Fine_values!D30)/ABS(Fine_values!D30),"")</f>
        <v>0.18349878787141</v>
      </c>
      <c r="E30" s="7">
        <f>IFERROR((Fine_values!F30-Fine_values!E30)/ABS(Fine_values!E30),"")</f>
        <v>0.284846211498065</v>
      </c>
      <c r="F30" s="7">
        <f>IFERROR((Fine_values!G30-Fine_values!F30)/ABS(Fine_values!F30),"")</f>
        <v>-0.0289457741652852</v>
      </c>
      <c r="G30" s="7">
        <f>IFERROR((Fine_values!H30-Fine_values!G30)/ABS(Fine_values!G30),"")</f>
        <v>0.411256269763377</v>
      </c>
      <c r="H30" s="7">
        <f>IFERROR((Fine_values!I30-Fine_values!H30)/ABS(Fine_values!H30),"")</f>
        <v>-0.0513986207686906</v>
      </c>
    </row>
    <row r="31" spans="1:8">
      <c r="A31" s="4" t="str">
        <f>Fine_values!A31</f>
        <v>Final relative residual [-]</v>
      </c>
      <c r="B31" s="7">
        <f>IFERROR((Fine_values!C31-Fine_values!B31)/ABS(Fine_values!B31),"")</f>
        <v>1.0898292501856</v>
      </c>
      <c r="C31" s="7">
        <f>IFERROR((Fine_values!D31-Fine_values!C31)/ABS(Fine_values!C31),"")</f>
        <v>0.152042628774423</v>
      </c>
      <c r="D31" s="7">
        <f>IFERROR((Fine_values!E31-Fine_values!D31)/ABS(Fine_values!D31),"")</f>
        <v>-0.196114708603145</v>
      </c>
      <c r="E31" s="7">
        <f>IFERROR((Fine_values!F31-Fine_values!E31)/ABS(Fine_values!E31),"")</f>
        <v>0.591484464902186</v>
      </c>
      <c r="F31" s="7">
        <f>IFERROR((Fine_values!G31-Fine_values!F31)/ABS(Fine_values!F31),"")</f>
        <v>-0.326584719209448</v>
      </c>
      <c r="G31" s="7">
        <f>IFERROR((Fine_values!H31-Fine_values!G31)/ABS(Fine_values!G31),"")</f>
        <v>0.186828919112384</v>
      </c>
      <c r="H31" s="7">
        <f>IFERROR((Fine_values!I31-Fine_values!H31)/ABS(Fine_values!H31),"")</f>
        <v>0.720446320868516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A12" sqref="A12"/>
    </sheetView>
  </sheetViews>
  <sheetFormatPr defaultColWidth="8.67619047619048" defaultRowHeight="15" outlineLevelCol="7"/>
  <cols>
    <col min="1" max="1" width="30" style="1" customWidth="1"/>
    <col min="2" max="9" width="15" style="1" customWidth="1"/>
    <col min="10" max="16384" width="8.67619047619048" style="1"/>
  </cols>
  <sheetData>
    <row r="1" ht="15.75" spans="1:8">
      <c r="A1" s="2" t="s">
        <v>85</v>
      </c>
    </row>
    <row r="3" spans="1:8">
      <c r="A3" s="3" t="s">
        <v>54</v>
      </c>
      <c r="B3" s="3" t="s">
        <v>49</v>
      </c>
      <c r="C3" s="3" t="s">
        <v>50</v>
      </c>
      <c r="D3" s="3" t="s">
        <v>51</v>
      </c>
      <c r="E3" s="3" t="s">
        <v>52</v>
      </c>
      <c r="F3" s="3" t="s">
        <v>82</v>
      </c>
      <c r="G3" s="3" t="s">
        <v>83</v>
      </c>
      <c r="H3" s="3" t="s">
        <v>84</v>
      </c>
    </row>
    <row r="4" spans="1:8">
      <c r="A4" s="4" t="s">
        <v>55</v>
      </c>
      <c r="B4" s="5">
        <v>0.047</v>
      </c>
      <c r="C4" s="5">
        <v>0.0389</v>
      </c>
      <c r="D4" s="5">
        <v>0.0328</v>
      </c>
      <c r="E4" s="5">
        <v>0.028</v>
      </c>
      <c r="F4" s="5">
        <v>0.0244</v>
      </c>
      <c r="G4" s="5">
        <v>0.0215</v>
      </c>
      <c r="H4" s="5">
        <v>0.019</v>
      </c>
    </row>
    <row r="5" spans="1:8">
      <c r="A5" s="4" t="s">
        <v>56</v>
      </c>
      <c r="B5" s="5">
        <v>0.0841</v>
      </c>
      <c r="C5" s="5">
        <v>0.0694</v>
      </c>
      <c r="D5" s="5">
        <v>0.0582</v>
      </c>
      <c r="E5" s="5">
        <v>0.0495</v>
      </c>
      <c r="F5" s="5">
        <v>0.0427</v>
      </c>
      <c r="G5" s="5">
        <v>0.0372</v>
      </c>
      <c r="H5" s="5">
        <v>0.0326</v>
      </c>
    </row>
    <row r="6" spans="1:8">
      <c r="A6" s="4" t="s">
        <v>57</v>
      </c>
      <c r="B6" s="5">
        <v>0.0588</v>
      </c>
      <c r="C6" s="5">
        <v>0.0486</v>
      </c>
      <c r="D6" s="5">
        <v>0.0409</v>
      </c>
      <c r="E6" s="5">
        <v>0.0349</v>
      </c>
      <c r="F6" s="5">
        <v>0.0303</v>
      </c>
      <c r="G6" s="5">
        <v>0.0266</v>
      </c>
      <c r="H6" s="5">
        <v>0.0235</v>
      </c>
    </row>
    <row r="7" spans="1:8">
      <c r="A7" s="4" t="s">
        <v>58</v>
      </c>
      <c r="B7" s="5">
        <v>0.0991</v>
      </c>
      <c r="C7" s="5">
        <v>0.0817</v>
      </c>
      <c r="D7" s="5">
        <v>0.0685</v>
      </c>
      <c r="E7" s="5">
        <v>0.0582</v>
      </c>
      <c r="F7" s="5">
        <v>0.0502</v>
      </c>
      <c r="G7" s="5">
        <v>0.0437</v>
      </c>
      <c r="H7" s="5">
        <v>0.0383</v>
      </c>
    </row>
    <row r="8" spans="1:8">
      <c r="A8" s="4" t="s">
        <v>59</v>
      </c>
      <c r="B8" s="5">
        <v>0.0391</v>
      </c>
      <c r="C8" s="5">
        <v>0.0325</v>
      </c>
      <c r="D8" s="5">
        <v>0.0274</v>
      </c>
      <c r="E8" s="5">
        <v>0.0234</v>
      </c>
      <c r="F8" s="5">
        <v>0.0204</v>
      </c>
      <c r="G8" s="5">
        <v>0.0181</v>
      </c>
      <c r="H8" s="5">
        <v>0.016</v>
      </c>
    </row>
    <row r="9" spans="1:8">
      <c r="A9" s="4" t="s">
        <v>60</v>
      </c>
      <c r="B9" s="5">
        <v>0.839</v>
      </c>
      <c r="C9" s="5">
        <v>0.7554</v>
      </c>
      <c r="D9" s="5">
        <v>0.9931</v>
      </c>
      <c r="E9" s="5">
        <v>0.6949</v>
      </c>
      <c r="F9" s="5">
        <v>0.9641</v>
      </c>
      <c r="G9" s="5">
        <v>0.5606</v>
      </c>
      <c r="H9" s="5">
        <v>1.3761</v>
      </c>
    </row>
    <row r="10" spans="1:8">
      <c r="A10" s="4" t="s">
        <v>61</v>
      </c>
      <c r="B10" s="5">
        <v>0.4045</v>
      </c>
      <c r="C10" s="5">
        <v>0.3292</v>
      </c>
      <c r="D10" s="5">
        <v>0.6819</v>
      </c>
      <c r="E10" s="5">
        <v>0.6397</v>
      </c>
      <c r="F10" s="5">
        <v>0.8986</v>
      </c>
      <c r="G10" s="5">
        <v>0.2618</v>
      </c>
      <c r="H10" s="5">
        <v>1.5211</v>
      </c>
    </row>
    <row r="11" spans="1:8">
      <c r="A11" s="4" t="s">
        <v>62</v>
      </c>
      <c r="B11" s="5">
        <v>0.8388</v>
      </c>
      <c r="C11" s="5">
        <v>0.6964</v>
      </c>
      <c r="D11" s="5">
        <v>0.7623</v>
      </c>
      <c r="E11" s="5">
        <v>0.7335</v>
      </c>
      <c r="F11" s="5">
        <v>0.9947</v>
      </c>
      <c r="G11" s="5">
        <v>0.5473</v>
      </c>
      <c r="H11" s="5">
        <v>1.3956</v>
      </c>
    </row>
    <row r="12" spans="1:8">
      <c r="A12" s="4" t="s">
        <v>63</v>
      </c>
      <c r="B12" s="5">
        <v>0.5389</v>
      </c>
      <c r="C12" s="5">
        <v>0.4594</v>
      </c>
      <c r="D12" s="5">
        <v>1.3691</v>
      </c>
      <c r="E12" s="5">
        <v>1.3056</v>
      </c>
      <c r="F12" s="5">
        <v>2.2217</v>
      </c>
      <c r="G12" s="5">
        <v>0.6488</v>
      </c>
      <c r="H12" s="5">
        <v>3.3147</v>
      </c>
    </row>
    <row r="13" spans="1:8">
      <c r="A13" s="4" t="s">
        <v>64</v>
      </c>
      <c r="B13" s="5">
        <v>0.7077</v>
      </c>
      <c r="C13" s="5">
        <v>0.6208</v>
      </c>
      <c r="D13" s="5">
        <v>0.818</v>
      </c>
      <c r="E13" s="5">
        <v>0.6258</v>
      </c>
      <c r="F13" s="5">
        <v>0.8582</v>
      </c>
      <c r="G13" s="5">
        <v>0.417</v>
      </c>
      <c r="H13" s="5">
        <v>1.2868</v>
      </c>
    </row>
    <row r="14" spans="1:8">
      <c r="A14" s="4" t="s">
        <v>65</v>
      </c>
      <c r="B14" s="5">
        <v>5.0635</v>
      </c>
      <c r="C14" s="5">
        <v>3.4962</v>
      </c>
      <c r="D14" s="5">
        <v>9.3948</v>
      </c>
      <c r="E14" s="5">
        <v>9.1316</v>
      </c>
      <c r="F14" s="5">
        <v>10.0138</v>
      </c>
      <c r="G14" s="5">
        <v>3.9964</v>
      </c>
      <c r="H14" s="5">
        <v>8.4274</v>
      </c>
    </row>
    <row r="15" spans="1:8">
      <c r="A15" s="4" t="s">
        <v>66</v>
      </c>
      <c r="B15" s="5">
        <v>8.1854</v>
      </c>
      <c r="C15" s="5">
        <v>7.2869</v>
      </c>
      <c r="D15" s="5">
        <v>14.818</v>
      </c>
      <c r="E15" s="5">
        <v>14.6462</v>
      </c>
      <c r="F15" s="5">
        <v>11.0751</v>
      </c>
      <c r="G15" s="5">
        <v>5.5442</v>
      </c>
      <c r="H15" s="5">
        <v>17.0902</v>
      </c>
    </row>
    <row r="16" spans="1:8">
      <c r="A16" s="4" t="s">
        <v>67</v>
      </c>
      <c r="B16" s="5">
        <v>9.343</v>
      </c>
      <c r="C16" s="5">
        <v>5.7979</v>
      </c>
      <c r="D16" s="5">
        <v>13.5039</v>
      </c>
      <c r="E16" s="5">
        <v>12.6318</v>
      </c>
      <c r="F16" s="5">
        <v>12.7706</v>
      </c>
      <c r="G16" s="5">
        <v>6.334</v>
      </c>
      <c r="H16" s="5">
        <v>13.5417</v>
      </c>
    </row>
    <row r="17" spans="1:8">
      <c r="A17" s="4" t="s">
        <v>68</v>
      </c>
      <c r="B17" s="5">
        <v>19.5777</v>
      </c>
      <c r="C17" s="5">
        <v>10.097</v>
      </c>
      <c r="D17" s="5">
        <v>15.7412</v>
      </c>
      <c r="E17" s="5">
        <v>25.4788</v>
      </c>
      <c r="F17" s="5">
        <v>13.2364</v>
      </c>
      <c r="G17" s="5">
        <v>7.9869</v>
      </c>
      <c r="H17" s="5">
        <v>26.7801</v>
      </c>
    </row>
    <row r="18" spans="1:8">
      <c r="A18" s="4" t="s">
        <v>69</v>
      </c>
      <c r="B18" s="5">
        <v>6.0566</v>
      </c>
      <c r="C18" s="5">
        <v>3.7991</v>
      </c>
      <c r="D18" s="5">
        <v>11.6866</v>
      </c>
      <c r="E18" s="5">
        <v>10.9512</v>
      </c>
      <c r="F18" s="5">
        <v>12.155</v>
      </c>
      <c r="G18" s="5">
        <v>4.6452</v>
      </c>
      <c r="H18" s="5">
        <v>11.2112</v>
      </c>
    </row>
    <row r="20" spans="1:8">
      <c r="A20" s="6" t="s">
        <v>70</v>
      </c>
    </row>
    <row r="21" spans="1:8">
      <c r="A21" s="6" t="s">
        <v>71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README</vt:lpstr>
      <vt:lpstr>Coarse_values</vt:lpstr>
      <vt:lpstr>Coarse_successive_%</vt:lpstr>
      <vt:lpstr>Coarse_fields_successive</vt:lpstr>
      <vt:lpstr>Fine_values</vt:lpstr>
      <vt:lpstr>Fine_successive_%</vt:lpstr>
      <vt:lpstr>Fine_fields_successive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SHASHI</cp:lastModifiedBy>
  <cp:revision>0</cp:revision>
  <dcterms:created xsi:type="dcterms:W3CDTF">2026-10-06T18:57:00Z</dcterms:created>
  <dcterms:modified xsi:type="dcterms:W3CDTF">2026-10-06T19:05:12Z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8EC1BA022FBD47108E04F36F8DF8244C_12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